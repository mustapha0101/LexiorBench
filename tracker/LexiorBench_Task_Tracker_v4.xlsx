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612" yWindow="1836" windowWidth="23256" windowHeight="12456" tabRatio="600" firstSheet="0" activeTab="0" autoFilterDateGrouping="1"/>
  </bookViews>
  <sheets>
    <sheet xmlns:r="http://schemas.openxmlformats.org/officeDocument/2006/relationships" name="LexiorBench Task Tracker" sheetId="1" state="visible" r:id="rId1"/>
    <sheet xmlns:r="http://schemas.openxmlformats.org/officeDocument/2006/relationships" name="Summary &amp; Legend" sheetId="2" state="visible" r:id="rId2"/>
  </sheets>
  <definedNames>
    <definedName name="_xlnm._FilterDatabase" localSheetId="0" hidden="1">'LexiorBench Task Tracker'!$A$1:$M$49</definedName>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b val="1"/>
      <color rgb="FFFFFFFF"/>
      <sz val="10"/>
    </font>
    <font>
      <name val="Arial"/>
      <b val="1"/>
      <color rgb="FF1E3A5F"/>
      <sz val="9"/>
    </font>
    <font>
      <name val="Arial"/>
      <color rgb="FF222222"/>
      <sz val="9"/>
    </font>
    <font>
      <name val="Arial"/>
      <b val="1"/>
      <color rgb="FF3C3489"/>
      <sz val="9"/>
    </font>
    <font>
      <name val="Arial"/>
      <color rgb="FF0C3A6E"/>
      <sz val="9"/>
    </font>
    <font>
      <name val="Arial"/>
      <b val="1"/>
      <color rgb="FF0C3A6E"/>
      <sz val="9"/>
    </font>
    <font>
      <name val="Arial"/>
      <b val="1"/>
      <color rgb="FF1A5E1A"/>
      <sz val="9"/>
    </font>
    <font>
      <name val="Arial"/>
      <color rgb="FF534AB7"/>
      <sz val="9"/>
    </font>
    <font>
      <name val="Arial"/>
      <b val="1"/>
      <color rgb="FF7A4F00"/>
      <sz val="9"/>
    </font>
    <font>
      <name val="Arial"/>
      <color rgb="FF854F0B"/>
      <sz val="9"/>
    </font>
    <font>
      <name val="Arial"/>
      <b val="1"/>
      <color rgb="FF888888"/>
      <sz val="9"/>
    </font>
    <font>
      <name val="Arial"/>
      <b val="1"/>
      <color rgb="FF555555"/>
      <sz val="9"/>
    </font>
    <font>
      <name val="Arial"/>
      <color rgb="FF7A4F00"/>
      <sz val="9"/>
    </font>
    <font>
      <name val="Arial"/>
      <b val="1"/>
      <color rgb="FF7A1040"/>
      <sz val="9"/>
    </font>
    <font>
      <name val="Arial"/>
      <b val="1"/>
      <color rgb="FF085041"/>
      <sz val="9"/>
    </font>
    <font>
      <name val="Arial"/>
      <color rgb="FF7A1040"/>
      <sz val="9"/>
    </font>
    <font>
      <name val="Arial"/>
      <color rgb="FF444441"/>
      <sz val="9"/>
    </font>
    <font>
      <name val="Arial"/>
      <color rgb="FF185FA5"/>
      <sz val="9"/>
    </font>
    <font>
      <name val="Arial"/>
      <color rgb="FF085041"/>
      <sz val="9"/>
    </font>
    <font>
      <name val="Arial"/>
      <color rgb="FF3B6D11"/>
      <sz val="9"/>
    </font>
    <font>
      <name val="Arial"/>
      <color rgb="FF712B13"/>
      <sz val="9"/>
    </font>
    <font>
      <name val="Arial"/>
      <b val="1"/>
      <color rgb="FF1A5E1A"/>
      <sz val="10"/>
    </font>
    <font>
      <name val="Arial"/>
      <color rgb="FF000000"/>
      <sz val="10"/>
    </font>
    <font>
      <name val="Arial"/>
      <b val="1"/>
      <color rgb="FF7A4F00"/>
      <sz val="10"/>
    </font>
    <font>
      <name val="Arial"/>
      <b val="1"/>
      <color rgb="FF555555"/>
      <sz val="10"/>
    </font>
    <font>
      <name val="Arial"/>
      <b val="1"/>
      <color rgb="FF0C3A6E"/>
      <sz val="10"/>
    </font>
    <font>
      <name val="Arial"/>
      <b val="1"/>
      <color rgb="FF1E3A5F"/>
      <sz val="10"/>
    </font>
    <font>
      <name val="Arial"/>
      <sz val="9"/>
    </font>
    <font>
      <name val="Arial"/>
      <b val="1"/>
      <color rgb="FF534AB7"/>
      <sz val="9"/>
    </font>
    <font>
      <name val="Arial"/>
      <b val="1"/>
      <color rgb="FF854F0B"/>
      <sz val="9"/>
    </font>
    <font>
      <name val="Arial"/>
      <b val="1"/>
      <color rgb="FF3B6D11"/>
      <sz val="9"/>
    </font>
    <font>
      <name val="Arial"/>
      <b val="1"/>
      <color rgb="FF712B13"/>
      <sz val="9"/>
    </font>
    <font>
      <name val="Arial"/>
      <b val="1"/>
      <color rgb="FF444441"/>
      <sz val="9"/>
    </font>
    <font>
      <name val="Arial"/>
      <b val="1"/>
      <color rgb="FF185FA5"/>
      <sz val="9"/>
    </font>
    <font>
      <name val="Arial"/>
      <b val="1"/>
      <color rgb="001E3A5F"/>
      <sz val="9"/>
    </font>
    <font>
      <name val="Arial"/>
      <color rgb="00222222"/>
      <sz val="9"/>
    </font>
    <font>
      <name val="Arial"/>
      <b val="1"/>
      <color rgb="00444441"/>
      <sz val="9"/>
    </font>
    <font>
      <name val="Arial"/>
      <color rgb="003B6D11"/>
      <sz val="9"/>
    </font>
    <font>
      <name val="Arial"/>
      <b val="1"/>
      <color rgb="001A5E1A"/>
      <sz val="9"/>
    </font>
    <font>
      <name val="Arial"/>
      <b val="1"/>
      <color rgb="000C3A6E"/>
      <sz val="9"/>
    </font>
    <font>
      <name val="Arial"/>
      <b val="1"/>
      <color rgb="003C3489"/>
      <sz val="9"/>
    </font>
    <font>
      <name val="Arial"/>
      <color rgb="00854F0B"/>
      <sz val="9"/>
    </font>
    <font>
      <name val="Arial"/>
      <b val="1"/>
      <color rgb="00085041"/>
      <sz val="9"/>
    </font>
    <font>
      <name val="Arial"/>
      <color rgb="00534AB7"/>
      <sz val="9"/>
    </font>
    <font>
      <name val="Arial"/>
      <color rgb="007A1040"/>
      <sz val="9"/>
    </font>
    <font>
      <name val="Arial"/>
      <b val="1"/>
      <color rgb="001E3A5F"/>
      <sz val="10"/>
    </font>
    <font>
      <name val="Arial"/>
      <b val="1"/>
      <color rgb="007A1040"/>
      <sz val="9"/>
    </font>
    <font>
      <name val="Arial"/>
      <color rgb="00555555"/>
      <sz val="9"/>
    </font>
    <font>
      <name val="Arial"/>
      <b val="1"/>
      <color rgb="003B6D11"/>
      <sz val="9"/>
    </font>
  </fonts>
  <fills count="31">
    <fill>
      <patternFill/>
    </fill>
    <fill>
      <patternFill patternType="gray125"/>
    </fill>
    <fill>
      <patternFill patternType="solid">
        <fgColor rgb="FF1E3A5F"/>
      </patternFill>
    </fill>
    <fill>
      <patternFill patternType="solid">
        <fgColor rgb="FFF9F9F9"/>
      </patternFill>
    </fill>
    <fill>
      <patternFill patternType="solid">
        <fgColor rgb="FFEDE9FB"/>
      </patternFill>
    </fill>
    <fill>
      <patternFill patternType="solid">
        <fgColor rgb="FFE8F4FF"/>
      </patternFill>
    </fill>
    <fill>
      <patternFill patternType="solid">
        <fgColor rgb="FFD6F0D6"/>
      </patternFill>
    </fill>
    <fill>
      <patternFill patternType="solid">
        <fgColor rgb="FFFFFFFF"/>
      </patternFill>
    </fill>
    <fill>
      <patternFill patternType="solid">
        <fgColor rgb="FFF3F0FE"/>
      </patternFill>
    </fill>
    <fill>
      <patternFill patternType="solid">
        <fgColor rgb="FFF0FFF4"/>
      </patternFill>
    </fill>
    <fill>
      <patternFill patternType="solid">
        <fgColor rgb="FFFFF3CD"/>
      </patternFill>
    </fill>
    <fill>
      <patternFill patternType="solid">
        <fgColor rgb="FFFFF8E6"/>
      </patternFill>
    </fill>
    <fill>
      <patternFill patternType="solid">
        <fgColor rgb="FFF5F5F5"/>
      </patternFill>
    </fill>
    <fill>
      <patternFill patternType="solid">
        <fgColor rgb="FFF0F0F0"/>
      </patternFill>
    </fill>
    <fill>
      <patternFill patternType="solid">
        <fgColor rgb="FFFFF0F5"/>
      </patternFill>
    </fill>
    <fill>
      <patternFill patternType="solid">
        <fgColor rgb="FFE1F5EE"/>
      </patternFill>
    </fill>
    <fill>
      <patternFill patternType="solid">
        <fgColor rgb="FFF1EFE8"/>
      </patternFill>
    </fill>
    <fill>
      <patternFill patternType="solid">
        <fgColor rgb="FFE6F1FB"/>
      </patternFill>
    </fill>
    <fill>
      <patternFill patternType="solid">
        <fgColor rgb="FFD6E8FB"/>
      </patternFill>
    </fill>
    <fill>
      <patternFill patternType="solid">
        <fgColor rgb="FFEAF3DE"/>
      </patternFill>
    </fill>
    <fill>
      <patternFill patternType="solid">
        <fgColor rgb="FFFAECE7"/>
      </patternFill>
    </fill>
    <fill>
      <patternFill patternType="solid">
        <fgColor rgb="00F9F9F9"/>
      </patternFill>
    </fill>
    <fill>
      <patternFill patternType="solid">
        <fgColor rgb="00F1EFE8"/>
      </patternFill>
    </fill>
    <fill>
      <patternFill patternType="solid">
        <fgColor rgb="00F0FFF4"/>
      </patternFill>
    </fill>
    <fill>
      <patternFill patternType="solid">
        <fgColor rgb="00D6E8FB"/>
      </patternFill>
    </fill>
    <fill>
      <patternFill patternType="solid">
        <fgColor rgb="00FFFFFF"/>
      </patternFill>
    </fill>
    <fill>
      <patternFill patternType="solid">
        <fgColor rgb="00EDE9FB"/>
      </patternFill>
    </fill>
    <fill>
      <patternFill patternType="solid">
        <fgColor rgb="00FFF8E6"/>
      </patternFill>
    </fill>
    <fill>
      <patternFill patternType="solid">
        <fgColor rgb="00E1F5EE"/>
      </patternFill>
    </fill>
    <fill>
      <patternFill patternType="solid">
        <fgColor rgb="00F3F0FE"/>
      </patternFill>
    </fill>
    <fill>
      <patternFill patternType="solid">
        <fgColor rgb="00FFF0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xf>
    <xf numFmtId="0" fontId="2" fillId="7" borderId="1" applyAlignment="1" pivotButton="0" quotePrefix="0" xfId="0">
      <alignment horizontal="left" vertical="top" wrapText="1"/>
    </xf>
    <xf numFmtId="0" fontId="3" fillId="7" borderId="1" applyAlignment="1" pivotButton="0" quotePrefix="0" xfId="0">
      <alignment horizontal="left" vertical="top" wrapText="1"/>
    </xf>
    <xf numFmtId="0" fontId="8"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9" fillId="10" borderId="1" applyAlignment="1" pivotButton="0" quotePrefix="0" xfId="0">
      <alignment horizontal="center" vertical="center"/>
    </xf>
    <xf numFmtId="0" fontId="10"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2" fillId="13" borderId="1" applyAlignment="1" pivotButton="0" quotePrefix="0" xfId="0">
      <alignment horizontal="center" vertical="center"/>
    </xf>
    <xf numFmtId="0" fontId="9" fillId="10"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14" borderId="1" applyAlignment="1" pivotButton="0" quotePrefix="0" xfId="0">
      <alignment horizontal="center" vertical="center" wrapText="1"/>
    </xf>
    <xf numFmtId="0" fontId="15" fillId="15" borderId="1" applyAlignment="1" pivotButton="0" quotePrefix="0" xfId="0">
      <alignment horizontal="center" vertical="center" wrapText="1"/>
    </xf>
    <xf numFmtId="0" fontId="16" fillId="14" borderId="1" applyAlignment="1" pivotButton="0" quotePrefix="0" xfId="0">
      <alignment horizontal="center" vertical="center" wrapText="1"/>
    </xf>
    <xf numFmtId="0" fontId="17" fillId="16" borderId="1" applyAlignment="1" pivotButton="0" quotePrefix="0" xfId="0">
      <alignment horizontal="center" vertical="center" wrapText="1"/>
    </xf>
    <xf numFmtId="0" fontId="18" fillId="17" borderId="1" applyAlignment="1" pivotButton="0" quotePrefix="0" xfId="0">
      <alignment horizontal="center" vertical="center" wrapText="1"/>
    </xf>
    <xf numFmtId="0" fontId="19" fillId="15" borderId="1" applyAlignment="1" pivotButton="0" quotePrefix="0" xfId="0">
      <alignment horizontal="center" vertical="center" wrapText="1"/>
    </xf>
    <xf numFmtId="0" fontId="6" fillId="18" borderId="1" applyAlignment="1" pivotButton="0" quotePrefix="0" xfId="0">
      <alignment horizontal="center" vertical="center"/>
    </xf>
    <xf numFmtId="0" fontId="20" fillId="19" borderId="1" applyAlignment="1" pivotButton="0" quotePrefix="0" xfId="0">
      <alignment horizontal="center" vertical="center" wrapText="1"/>
    </xf>
    <xf numFmtId="0" fontId="21" fillId="20" borderId="1" applyAlignment="1" pivotButton="0" quotePrefix="0" xfId="0">
      <alignment horizontal="center" vertical="center" wrapText="1"/>
    </xf>
    <xf numFmtId="0" fontId="22" fillId="6" borderId="1" applyAlignment="1" pivotButton="0" quotePrefix="0" xfId="0">
      <alignment horizontal="left" vertical="top" wrapText="1"/>
    </xf>
    <xf numFmtId="0" fontId="23" fillId="6" borderId="1" applyAlignment="1" pivotButton="0" quotePrefix="0" xfId="0">
      <alignment horizontal="center" vertical="top" wrapText="1"/>
    </xf>
    <xf numFmtId="0" fontId="23" fillId="7" borderId="1" applyAlignment="1" pivotButton="0" quotePrefix="0" xfId="0">
      <alignment horizontal="left" vertical="top" wrapText="1"/>
    </xf>
    <xf numFmtId="0" fontId="24" fillId="10" borderId="1" applyAlignment="1" pivotButton="0" quotePrefix="0" xfId="0">
      <alignment horizontal="left" vertical="top" wrapText="1"/>
    </xf>
    <xf numFmtId="0" fontId="23" fillId="10" borderId="1" applyAlignment="1" pivotButton="0" quotePrefix="0" xfId="0">
      <alignment horizontal="center" vertical="top" wrapText="1"/>
    </xf>
    <xf numFmtId="0" fontId="25" fillId="13" borderId="1" applyAlignment="1" pivotButton="0" quotePrefix="0" xfId="0">
      <alignment horizontal="left" vertical="top" wrapText="1"/>
    </xf>
    <xf numFmtId="0" fontId="23" fillId="13" borderId="1" applyAlignment="1" pivotButton="0" quotePrefix="0" xfId="0">
      <alignment horizontal="center" vertical="top" wrapText="1"/>
    </xf>
    <xf numFmtId="0" fontId="26" fillId="18" borderId="1" applyAlignment="1" pivotButton="0" quotePrefix="0" xfId="0">
      <alignment horizontal="left" vertical="top" wrapText="1"/>
    </xf>
    <xf numFmtId="0" fontId="23" fillId="18" borderId="1" applyAlignment="1" pivotButton="0" quotePrefix="0" xfId="0">
      <alignment horizontal="center" vertical="top" wrapText="1"/>
    </xf>
    <xf numFmtId="0" fontId="27" fillId="0" borderId="0" pivotButton="0" quotePrefix="0" xfId="0"/>
    <xf numFmtId="0" fontId="4" fillId="4" borderId="1" applyAlignment="1" pivotButton="0" quotePrefix="0" xfId="0">
      <alignment horizontal="center" vertical="top" wrapText="1"/>
    </xf>
    <xf numFmtId="0" fontId="28" fillId="0" borderId="1" applyAlignment="1" pivotButton="0" quotePrefix="0" xfId="0">
      <alignment horizontal="left" vertical="top" wrapText="1"/>
    </xf>
    <xf numFmtId="0" fontId="9" fillId="10" borderId="1" applyAlignment="1" pivotButton="0" quotePrefix="0" xfId="0">
      <alignment horizontal="center" vertical="top" wrapText="1"/>
    </xf>
    <xf numFmtId="0" fontId="15" fillId="15" borderId="1" applyAlignment="1" pivotButton="0" quotePrefix="0" xfId="0">
      <alignment horizontal="center" vertical="top" wrapText="1"/>
    </xf>
    <xf numFmtId="0" fontId="29" fillId="8" borderId="1" applyAlignment="1" pivotButton="0" quotePrefix="0" xfId="0">
      <alignment horizontal="center" vertical="top" wrapText="1"/>
    </xf>
    <xf numFmtId="0" fontId="6" fillId="5" borderId="1" applyAlignment="1" pivotButton="0" quotePrefix="0" xfId="0">
      <alignment horizontal="center" vertical="top" wrapText="1"/>
    </xf>
    <xf numFmtId="0" fontId="14" fillId="14" borderId="1" applyAlignment="1" pivotButton="0" quotePrefix="0" xfId="0">
      <alignment horizontal="center" vertical="top" wrapText="1"/>
    </xf>
    <xf numFmtId="0" fontId="30" fillId="11" borderId="1" applyAlignment="1" pivotButton="0" quotePrefix="0" xfId="0">
      <alignment horizontal="center" vertical="top" wrapText="1"/>
    </xf>
    <xf numFmtId="0" fontId="31" fillId="19" borderId="1" applyAlignment="1" pivotButton="0" quotePrefix="0" xfId="0">
      <alignment horizontal="center" vertical="top" wrapText="1"/>
    </xf>
    <xf numFmtId="0" fontId="32" fillId="20" borderId="1" applyAlignment="1" pivotButton="0" quotePrefix="0" xfId="0">
      <alignment horizontal="center" vertical="top" wrapText="1"/>
    </xf>
    <xf numFmtId="0" fontId="33" fillId="16" borderId="1" applyAlignment="1" pivotButton="0" quotePrefix="0" xfId="0">
      <alignment horizontal="center" vertical="top" wrapText="1"/>
    </xf>
    <xf numFmtId="0" fontId="34" fillId="17" borderId="1" applyAlignment="1" pivotButton="0" quotePrefix="0" xfId="0">
      <alignment horizontal="center" vertical="top" wrapText="1"/>
    </xf>
    <xf numFmtId="0" fontId="7" fillId="9" borderId="1" applyAlignment="1" pivotButton="0" quotePrefix="0" xfId="0">
      <alignment horizontal="center" vertical="top" wrapText="1"/>
    </xf>
    <xf numFmtId="0" fontId="11" fillId="12" borderId="1" applyAlignment="1" pivotButton="0" quotePrefix="0" xfId="0">
      <alignment horizontal="center" vertical="top" wrapText="1"/>
    </xf>
    <xf numFmtId="0" fontId="35" fillId="21" borderId="2" applyAlignment="1" pivotButton="0" quotePrefix="0" xfId="0">
      <alignment horizontal="left" vertical="top" wrapText="1"/>
    </xf>
    <xf numFmtId="0" fontId="36" fillId="21" borderId="2" applyAlignment="1" pivotButton="0" quotePrefix="0" xfId="0">
      <alignment horizontal="left" vertical="top" wrapText="1"/>
    </xf>
    <xf numFmtId="0" fontId="37" fillId="22" borderId="2" applyAlignment="1" pivotButton="0" quotePrefix="0" xfId="0">
      <alignment horizontal="center" vertical="center" wrapText="1"/>
    </xf>
    <xf numFmtId="0" fontId="38" fillId="22" borderId="2" applyAlignment="1" pivotButton="0" quotePrefix="0" xfId="0">
      <alignment horizontal="center" vertical="center" wrapText="1"/>
    </xf>
    <xf numFmtId="0" fontId="39" fillId="23" borderId="2" applyAlignment="1" pivotButton="0" quotePrefix="0" xfId="0">
      <alignment horizontal="center" vertical="center" wrapText="1"/>
    </xf>
    <xf numFmtId="0" fontId="40" fillId="24" borderId="2" applyAlignment="1" pivotButton="0" quotePrefix="0" xfId="0">
      <alignment horizontal="center" vertical="center"/>
    </xf>
    <xf numFmtId="0" fontId="35" fillId="25" borderId="2" applyAlignment="1" pivotButton="0" quotePrefix="0" xfId="0">
      <alignment horizontal="left" vertical="top" wrapText="1"/>
    </xf>
    <xf numFmtId="0" fontId="36" fillId="25" borderId="2" applyAlignment="1" pivotButton="0" quotePrefix="0" xfId="0">
      <alignment horizontal="left" vertical="top" wrapText="1"/>
    </xf>
    <xf numFmtId="0" fontId="41" fillId="26" borderId="2" applyAlignment="1" pivotButton="0" quotePrefix="0" xfId="0">
      <alignment horizontal="center" vertical="center" wrapText="1"/>
    </xf>
    <xf numFmtId="0" fontId="42" fillId="27" borderId="2" applyAlignment="1" pivotButton="0" quotePrefix="0" xfId="0">
      <alignment horizontal="center" vertical="center" wrapText="1"/>
    </xf>
    <xf numFmtId="0" fontId="43" fillId="28" borderId="2" applyAlignment="1" pivotButton="0" quotePrefix="0" xfId="0">
      <alignment horizontal="center" vertical="center" wrapText="1"/>
    </xf>
    <xf numFmtId="0" fontId="44" fillId="29" borderId="2" applyAlignment="1" pivotButton="0" quotePrefix="0" xfId="0">
      <alignment horizontal="center" vertical="center" wrapText="1"/>
    </xf>
    <xf numFmtId="0" fontId="45" fillId="30" borderId="2" applyAlignment="1" pivotButton="0" quotePrefix="0" xfId="0">
      <alignment horizontal="center" vertical="center" wrapText="1"/>
    </xf>
    <xf numFmtId="0" fontId="46" fillId="0" borderId="0" pivotButton="0" quotePrefix="0" xfId="0"/>
    <xf numFmtId="0" fontId="47" fillId="30" borderId="2" applyAlignment="1" pivotButton="0" quotePrefix="0" xfId="0">
      <alignment horizontal="center" vertical="center" wrapText="1"/>
    </xf>
    <xf numFmtId="0" fontId="48" fillId="0" borderId="2" applyAlignment="1" pivotButton="0" quotePrefix="0" xfId="0">
      <alignment horizontal="center"/>
    </xf>
    <xf numFmtId="0" fontId="28" fillId="0" borderId="2" applyAlignment="1" pivotButton="0" quotePrefix="0" xfId="0">
      <alignment horizontal="left" vertical="top" wrapText="1"/>
    </xf>
    <xf numFmtId="0" fontId="49" fillId="22"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tabSelected="1" zoomScale="87" workbookViewId="0">
      <pane ySplit="1" topLeftCell="A45" activePane="bottomLeft" state="frozen"/>
      <selection pane="bottomLeft" activeCell="I50" sqref="I50"/>
    </sheetView>
  </sheetViews>
  <sheetFormatPr baseColWidth="8" defaultRowHeight="14.6"/>
  <cols>
    <col width="30" customWidth="1" min="1" max="1"/>
    <col width="20" customWidth="1" min="2" max="3"/>
    <col width="18" customWidth="1" min="4" max="4"/>
    <col width="16" customWidth="1" min="5" max="5"/>
    <col width="34" customWidth="1" min="6" max="6"/>
    <col width="40" customWidth="1" min="7" max="7"/>
    <col width="16.53515625" customWidth="1" min="8" max="8"/>
    <col width="13" customWidth="1" min="9" max="9"/>
    <col width="34" customWidth="1" min="10" max="12"/>
    <col width="26" customWidth="1" min="13" max="13"/>
  </cols>
  <sheetData>
    <row r="1" ht="40.3" customHeight="1">
      <c r="A1" s="1" t="inlineStr">
        <is>
          <t>Task</t>
        </is>
      </c>
      <c r="B1" s="1" t="inlineStr">
        <is>
          <t>Reasoning type</t>
        </is>
      </c>
      <c r="C1" s="1" t="inlineStr">
        <is>
          <t>Answer type</t>
        </is>
      </c>
      <c r="D1" s="1" t="inlineStr">
        <is>
          <t>Answer detail</t>
        </is>
      </c>
      <c r="E1" s="1" t="inlineStr">
        <is>
          <t>Target jurisdiction</t>
        </is>
      </c>
      <c r="F1" s="1" t="inlineStr">
        <is>
          <t>Purpose</t>
        </is>
      </c>
      <c r="G1" s="1" t="inlineStr">
        <is>
          <t>Question example</t>
        </is>
      </c>
      <c r="H1" s="1" t="inlineStr">
        <is>
          <t># Samples
(LegalBench)</t>
        </is>
      </c>
      <c r="I1" s="1" t="inlineStr">
        <is>
          <t>State</t>
        </is>
      </c>
      <c r="J1" s="1" t="inlineStr">
        <is>
          <t>What to keep</t>
        </is>
      </c>
      <c r="K1" s="1" t="inlineStr">
        <is>
          <t>What to replace</t>
        </is>
      </c>
      <c r="L1" s="1" t="inlineStr">
        <is>
          <t>QC/CA equivalent</t>
        </is>
      </c>
      <c r="M1" s="1" t="inlineStr">
        <is>
          <t>LexiorGPT use case</t>
        </is>
      </c>
    </row>
    <row r="2" ht="60" customHeight="1">
      <c r="A2" s="2" t="inlineStr">
        <is>
          <t>canada_tax_court_outcomes</t>
        </is>
      </c>
      <c r="B2" s="3" t="inlineStr">
        <is>
          <t>Rhetorical</t>
        </is>
      </c>
      <c r="C2" s="4" t="inlineStr">
        <is>
          <t>Classification</t>
        </is>
      </c>
      <c r="D2" s="5" t="inlineStr">
        <is>
          <t>3 classes</t>
        </is>
      </c>
      <c r="E2" s="6" t="inlineStr">
        <is>
          <t>Federal CA</t>
        </is>
      </c>
      <c r="F2" s="3" t="inlineStr">
        <is>
          <t>Identify outcome of a Tax Court of Canada decision</t>
        </is>
      </c>
      <c r="G2" s="3" t="inlineStr">
        <is>
          <t>L'appel est accueilli en partie et le dossier est renvoyé au ministre pour réévaluation. Quel est le résultat? (allowed / dismissed / other)</t>
        </is>
      </c>
      <c r="H2" s="3" t="n">
        <v>250</v>
      </c>
      <c r="I2" s="7" t="inlineStr">
        <is>
          <t>to keep</t>
        </is>
      </c>
      <c r="J2" s="3" t="inlineStr">
        <is>
          <t>Format + reasoning + data — already Canadian bilingual</t>
        </is>
      </c>
      <c r="K2" s="3" t="inlineStr">
        <is>
          <t>Nothing — already valid</t>
        </is>
      </c>
      <c r="L2" s="3" t="inlineStr">
        <is>
          <t>Tax Court of Canada decisions (EN + FR)</t>
        </is>
      </c>
      <c r="M2" s="3" t="inlineStr">
        <is>
          <t>Résumé de décisions</t>
        </is>
      </c>
    </row>
    <row r="3" ht="60" customHeight="1">
      <c r="A3" s="8" t="inlineStr">
        <is>
          <t>overruling</t>
        </is>
      </c>
      <c r="B3" s="9" t="inlineStr">
        <is>
          <t>Rhetorical</t>
        </is>
      </c>
      <c r="C3" s="4" t="inlineStr">
        <is>
          <t>Classification</t>
        </is>
      </c>
      <c r="D3" s="10" t="inlineStr">
        <is>
          <t>Binary (Yes/No)</t>
        </is>
      </c>
      <c r="E3" s="11" t="inlineStr">
        <is>
          <t>Both</t>
        </is>
      </c>
      <c r="F3" s="9" t="inlineStr">
        <is>
          <t>Does this sentence from a judgment overrule a prior case?</t>
        </is>
      </c>
      <c r="G3" s="9" t="inlineStr">
        <is>
          <t>Dans la mesure où notre décision dans Doré c. Barreau du Québec entre en conflit avec le présent arrêt, Doré est infirmé. — Est-ce un revirement jurisprudentiel? (Oui/Non)</t>
        </is>
      </c>
      <c r="H3" s="9" t="n">
        <v>100</v>
      </c>
      <c r="I3" s="12" t="inlineStr">
        <is>
          <t>to adapt</t>
        </is>
      </c>
      <c r="J3" s="9" t="inlineStr">
        <is>
          <t>Binary Yes/No format; revirement jurisprudentiel is universal in CA courts</t>
        </is>
      </c>
      <c r="K3" s="9" t="inlineStr">
        <is>
          <t>SCOTUS sentences → CSC / Cour d'appel QC sentences (CanLII)</t>
        </is>
      </c>
      <c r="L3" s="9" t="inlineStr">
        <is>
          <t>Ex: phrase extraite d'un arrêt CSC annulant un précédent</t>
        </is>
      </c>
      <c r="M3" s="9" t="inlineStr">
        <is>
          <t>Raisonnement juridique</t>
        </is>
      </c>
    </row>
    <row r="4" ht="60" customHeight="1">
      <c r="A4" s="2" t="inlineStr">
        <is>
          <t>definition_classification</t>
        </is>
      </c>
      <c r="B4" s="3" t="inlineStr">
        <is>
          <t>Rhetorical</t>
        </is>
      </c>
      <c r="C4" s="4" t="inlineStr">
        <is>
          <t>Classification</t>
        </is>
      </c>
      <c r="D4" s="10" t="inlineStr">
        <is>
          <t>Binary (Yes/No)</t>
        </is>
      </c>
      <c r="E4" s="11" t="inlineStr">
        <is>
          <t>Both</t>
        </is>
      </c>
      <c r="F4" s="3" t="inlineStr">
        <is>
          <t>Does this sentence from a judgment define a legal term?</t>
        </is>
      </c>
      <c r="G4" s="3" t="inlineStr">
        <is>
          <t>Le terme 'résidence principale' au sens de l'art. 395 CCQ désigne le lieu où une personne a son principal établissement. — Cette phrase définit-elle un terme? (Oui/Non)</t>
        </is>
      </c>
      <c r="H4" s="3" t="n">
        <v>90</v>
      </c>
      <c r="I4" s="12" t="inlineStr">
        <is>
          <t>to adapt</t>
        </is>
      </c>
      <c r="J4" s="3" t="inlineStr">
        <is>
          <t>Binary Yes/No format; judicial definitions appear in all CA judgments</t>
        </is>
      </c>
      <c r="K4" s="3" t="inlineStr">
        <is>
          <t>SCOTUS sentences → CSC / Cour d'appel QC sentences in French</t>
        </is>
      </c>
      <c r="L4" s="3" t="inlineStr">
        <is>
          <t>Phrases extraites de décisions CanLII QC en français</t>
        </is>
      </c>
      <c r="M4" s="3" t="inlineStr">
        <is>
          <t>Raisonnement juridique / Résumé</t>
        </is>
      </c>
    </row>
    <row r="5" ht="60" customHeight="1">
      <c r="A5" s="8" t="inlineStr">
        <is>
          <t>function_of_decision_section</t>
        </is>
      </c>
      <c r="B5" s="9" t="inlineStr">
        <is>
          <t>Rhetorical</t>
        </is>
      </c>
      <c r="C5" s="4" t="inlineStr">
        <is>
          <t>Classification</t>
        </is>
      </c>
      <c r="D5" s="13" t="inlineStr">
        <is>
          <t>Multi-class</t>
        </is>
      </c>
      <c r="E5" s="11" t="inlineStr">
        <is>
          <t>Both</t>
        </is>
      </c>
      <c r="F5" s="9" t="inlineStr">
        <is>
          <t>What function does this excerpt perform? (statement of facts / rule / application / conclusion)</t>
        </is>
      </c>
      <c r="G5" s="9" t="inlineStr">
        <is>
          <t>Le Tribunal retient que l'art. 1457 CCQ impose une obligation générale de ne pas causer préjudice à autrui. — Fonction: (a) Faits (b) Règle (c) Application (d) Conclusion</t>
        </is>
      </c>
      <c r="H5" s="9" t="n">
        <v>100</v>
      </c>
      <c r="I5" s="12" t="inlineStr">
        <is>
          <t>to adapt</t>
        </is>
      </c>
      <c r="J5" s="9" t="inlineStr">
        <is>
          <t>4-class IRAC format — universal across all Canadian courts</t>
        </is>
      </c>
      <c r="K5" s="9" t="inlineStr">
        <is>
          <t>US court excerpts → décisions CanLII QC en français</t>
        </is>
      </c>
      <c r="L5" s="9" t="inlineStr">
        <is>
          <t>Extraits annotés de décisions CanLII (Cour du Québec, CA-QC, CSC)</t>
        </is>
      </c>
      <c r="M5" s="9" t="inlineStr">
        <is>
          <t>Raisonnement IRAC</t>
        </is>
      </c>
    </row>
    <row r="6" ht="60" customHeight="1">
      <c r="A6" s="2" t="inlineStr">
        <is>
          <t>legal_reasoning_causality</t>
        </is>
      </c>
      <c r="B6" s="3" t="inlineStr">
        <is>
          <t>Rhetorical</t>
        </is>
      </c>
      <c r="C6" s="4" t="inlineStr">
        <is>
          <t>Classification</t>
        </is>
      </c>
      <c r="D6" s="10" t="inlineStr">
        <is>
          <t>Binary (Yes/No)</t>
        </is>
      </c>
      <c r="E6" s="6" t="inlineStr">
        <is>
          <t>Federal CA</t>
        </is>
      </c>
      <c r="F6" s="3" t="inlineStr">
        <is>
          <t>Does this judicial excerpt rely on statistical or epidemiological evidence to establish causation?</t>
        </is>
      </c>
      <c r="G6" s="3" t="inlineStr">
        <is>
          <t>Les données épidémiologiques présentées par l'expert démontrent une corrélation significative entre l'exposition et la maladie. — Repose-t-il sur des preuves statistiques? (Oui/Non)</t>
        </is>
      </c>
      <c r="H6" s="3" t="n">
        <v>100</v>
      </c>
      <c r="I6" s="12" t="inlineStr">
        <is>
          <t>to adapt</t>
        </is>
      </c>
      <c r="J6" s="3" t="inlineStr">
        <is>
          <t>Binary Yes/No format; causal reasoning in CA courts (Snell v. Farrell)</t>
        </is>
      </c>
      <c r="K6" s="3" t="inlineStr">
        <is>
          <t>US court opinions → Canadian causation cases</t>
        </is>
      </c>
      <c r="L6" s="3" t="inlineStr">
        <is>
          <t>Décisions CanLII sur causalité médicale (ex: Clements c. Clements 2012 CSC 32)</t>
        </is>
      </c>
      <c r="M6" s="3" t="inlineStr">
        <is>
          <t>Analyse des risques</t>
        </is>
      </c>
    </row>
    <row r="7" ht="60" customHeight="1">
      <c r="A7" s="8" t="inlineStr">
        <is>
          <t>oral_argument_question_purpose</t>
        </is>
      </c>
      <c r="B7" s="9" t="inlineStr">
        <is>
          <t>Rhetorical</t>
        </is>
      </c>
      <c r="C7" s="4" t="inlineStr">
        <is>
          <t>Classification</t>
        </is>
      </c>
      <c r="D7" s="13" t="inlineStr">
        <is>
          <t>Multi-class</t>
        </is>
      </c>
      <c r="E7" s="14" t="inlineStr">
        <is>
          <t>N/A</t>
        </is>
      </c>
      <c r="F7" s="9" t="inlineStr">
        <is>
          <t>What purpose does this Supreme Court oral argument question serve?</t>
        </is>
      </c>
      <c r="G7" s="9" t="inlineStr">
        <is>
          <t>—</t>
        </is>
      </c>
      <c r="H7" s="9" t="n">
        <v>120</v>
      </c>
      <c r="I7" s="15" t="inlineStr">
        <is>
          <t>to reject</t>
        </is>
      </c>
      <c r="J7" s="9" t="inlineStr">
        <is>
          <t>—</t>
        </is>
      </c>
      <c r="K7" s="9" t="inlineStr">
        <is>
          <t>SCOTUS oral argument style has no direct CSC equivalent</t>
        </is>
      </c>
      <c r="L7" s="9" t="inlineStr">
        <is>
          <t>Possible future: CSC oral argument analysis</t>
        </is>
      </c>
      <c r="M7" s="9" t="inlineStr">
        <is>
          <t>N/A</t>
        </is>
      </c>
    </row>
    <row r="8" ht="60" customHeight="1">
      <c r="A8" s="2" t="inlineStr">
        <is>
          <t>scalr</t>
        </is>
      </c>
      <c r="B8" s="3" t="inlineStr">
        <is>
          <t>Rhetorical</t>
        </is>
      </c>
      <c r="C8" s="16" t="inlineStr">
        <is>
          <t>Open generation</t>
        </is>
      </c>
      <c r="D8" s="17" t="inlineStr">
        <is>
          <t>Free text</t>
        </is>
      </c>
      <c r="E8" s="14" t="inlineStr">
        <is>
          <t>N/A</t>
        </is>
      </c>
      <c r="F8" s="3" t="inlineStr">
        <is>
          <t>Which holding statement best answers this legal question?</t>
        </is>
      </c>
      <c r="G8" s="3" t="inlineStr">
        <is>
          <t>—</t>
        </is>
      </c>
      <c r="H8" s="3" t="n">
        <v>30</v>
      </c>
      <c r="I8" s="15" t="inlineStr">
        <is>
          <t>to reject</t>
        </is>
      </c>
      <c r="J8" s="3" t="inlineStr">
        <is>
          <t>—</t>
        </is>
      </c>
      <c r="K8" s="3" t="inlineStr">
        <is>
          <t>Tied to US KeyCite / Shepard's citator — no CA equivalent</t>
        </is>
      </c>
      <c r="L8" s="3" t="inlineStr">
        <is>
          <t>Possible future: CanLII citator analysis</t>
        </is>
      </c>
      <c r="M8" s="3" t="inlineStr">
        <is>
          <t>N/A</t>
        </is>
      </c>
    </row>
    <row r="9" ht="60" customHeight="1">
      <c r="A9" s="8" t="inlineStr">
        <is>
          <t>textualism_tool_1 / textualism_tool_2</t>
        </is>
      </c>
      <c r="B9" s="9" t="inlineStr">
        <is>
          <t>Rhetorical</t>
        </is>
      </c>
      <c r="C9" s="4" t="inlineStr">
        <is>
          <t>Classification</t>
        </is>
      </c>
      <c r="D9" s="10" t="inlineStr">
        <is>
          <t>Binary (Yes/No)</t>
        </is>
      </c>
      <c r="E9" s="14" t="inlineStr">
        <is>
          <t>N/A</t>
        </is>
      </c>
      <c r="F9" s="9" t="inlineStr">
        <is>
          <t>Does this judicial excerpt rely on a specific textualist interpretive tool?</t>
        </is>
      </c>
      <c r="G9" s="9" t="inlineStr">
        <is>
          <t>—</t>
        </is>
      </c>
      <c r="H9" s="9" t="n">
        <v>100</v>
      </c>
      <c r="I9" s="15" t="inlineStr">
        <is>
          <t>to reject</t>
        </is>
      </c>
      <c r="J9" s="9" t="inlineStr">
        <is>
          <t>—</t>
        </is>
      </c>
      <c r="K9" s="9" t="inlineStr">
        <is>
          <t>Textualism is a US doctrine — CA courts use purposive approach (Rizzo)</t>
        </is>
      </c>
      <c r="L9" s="9" t="inlineStr">
        <is>
          <t>N/A</t>
        </is>
      </c>
      <c r="M9" s="9" t="inlineStr">
        <is>
          <t>N/A</t>
        </is>
      </c>
    </row>
    <row r="10" ht="60" customHeight="1">
      <c r="A10" s="2" t="inlineStr">
        <is>
          <t>learned_hands_benefits</t>
        </is>
      </c>
      <c r="B10" s="3" t="inlineStr">
        <is>
          <t>Issue-spotting</t>
        </is>
      </c>
      <c r="C10" s="4" t="inlineStr">
        <is>
          <t>Classification</t>
        </is>
      </c>
      <c r="D10" s="10" t="inlineStr">
        <is>
          <t>Binary (Yes/No)</t>
        </is>
      </c>
      <c r="E10" s="18" t="inlineStr">
        <is>
          <t>Quebec</t>
        </is>
      </c>
      <c r="F10" s="3" t="inlineStr">
        <is>
          <t>Does this scenario raise a public benefits / social services legal issue?</t>
        </is>
      </c>
      <c r="G10" s="3" t="inlineStr">
        <is>
          <t>Mon propriétaire a entré dans mon appartement sans préavis pendant mon absence et a pris des photos. Est-ce un problème légal? (Oui/Non)</t>
        </is>
      </c>
      <c r="H10" s="3" t="n">
        <v>183</v>
      </c>
      <c r="I10" s="12" t="inlineStr">
        <is>
          <t>to adapt</t>
        </is>
      </c>
      <c r="J10" s="3" t="inlineStr">
        <is>
          <t>Binary Yes/No format; domain-based issue-spotting is universal</t>
        </is>
      </c>
      <c r="K10" s="3" t="inlineStr">
        <is>
          <t>Reddit US posts → scénarios anonymisés droit québécois</t>
        </is>
      </c>
      <c r="L10" s="3" t="inlineStr">
        <is>
          <t>Ex: scénarios portant sur l'aide sociale, logement, services gouvernementaux (QC)</t>
        </is>
      </c>
      <c r="M10" s="3" t="inlineStr">
        <is>
          <t>Analyse des risques</t>
        </is>
      </c>
    </row>
    <row r="11" ht="60" customHeight="1">
      <c r="A11" s="8" t="inlineStr">
        <is>
          <t>learned_hands_housing</t>
        </is>
      </c>
      <c r="B11" s="9" t="inlineStr">
        <is>
          <t>Issue-spotting</t>
        </is>
      </c>
      <c r="C11" s="4" t="inlineStr">
        <is>
          <t>Classification</t>
        </is>
      </c>
      <c r="D11" s="10" t="inlineStr">
        <is>
          <t>Binary (Yes/No)</t>
        </is>
      </c>
      <c r="E11" s="18" t="inlineStr">
        <is>
          <t>Quebec</t>
        </is>
      </c>
      <c r="F11" s="9" t="inlineStr">
        <is>
          <t>Does this scenario raise a housing / landlord-tenant legal issue?</t>
        </is>
      </c>
      <c r="G11" s="9" t="inlineStr">
        <is>
          <t>Mon propriétaire refuse de réparer le système de chauffage depuis 3 semaines en janvier. Est-ce un problème de bail? (Oui/Non)</t>
        </is>
      </c>
      <c r="H11" s="9" t="n">
        <v>142</v>
      </c>
      <c r="I11" s="12" t="inlineStr">
        <is>
          <t>to adapt</t>
        </is>
      </c>
      <c r="J11" s="9" t="inlineStr">
        <is>
          <t>Binary Yes/No format</t>
        </is>
      </c>
      <c r="K11" s="9" t="inlineStr">
        <is>
          <t>Reddit US posts → scénarios bail résidentiel QC (RLRQ c C-19)</t>
        </is>
      </c>
      <c r="L11" s="9" t="inlineStr">
        <is>
          <t>Ex: scénarios portant sur le bail, l'expulsion, les réparations (CCQ art. 1912)</t>
        </is>
      </c>
      <c r="M11" s="9" t="inlineStr">
        <is>
          <t>Analyse des risques</t>
        </is>
      </c>
    </row>
    <row r="12" ht="60" customHeight="1">
      <c r="A12" s="2" t="inlineStr">
        <is>
          <t>learned_hands_immigration</t>
        </is>
      </c>
      <c r="B12" s="3" t="inlineStr">
        <is>
          <t>Issue-spotting</t>
        </is>
      </c>
      <c r="C12" s="4" t="inlineStr">
        <is>
          <t>Classification</t>
        </is>
      </c>
      <c r="D12" s="10" t="inlineStr">
        <is>
          <t>Binary (Yes/No)</t>
        </is>
      </c>
      <c r="E12" s="6" t="inlineStr">
        <is>
          <t>Federal CA</t>
        </is>
      </c>
      <c r="F12" s="3" t="inlineStr">
        <is>
          <t>Does this scenario raise an immigration / residency legal issue?</t>
        </is>
      </c>
      <c r="G12" s="3" t="inlineStr">
        <is>
          <t>Mon visa étudiant expire dans 3 semaines et ma demande de renouvellement est toujours en traitement. Ai-je un problème légal? (Oui/Non)</t>
        </is>
      </c>
      <c r="H12" s="3" t="n">
        <v>87</v>
      </c>
      <c r="I12" s="12" t="inlineStr">
        <is>
          <t>to adapt</t>
        </is>
      </c>
      <c r="J12" s="3" t="inlineStr">
        <is>
          <t>Binary Yes/No format</t>
        </is>
      </c>
      <c r="K12" s="3" t="inlineStr">
        <is>
          <t>Reddit US posts → scénarios LIPR (Loi sur l'immigration et la protection des réfugiés)</t>
        </is>
      </c>
      <c r="L12" s="3" t="inlineStr">
        <is>
          <t>Ex: scénarios portant sur visa, permis de travail, statut de réfugié (CA fédéral)</t>
        </is>
      </c>
      <c r="M12" s="3" t="inlineStr">
        <is>
          <t>Analyse des risques</t>
        </is>
      </c>
    </row>
    <row r="13" ht="60" customHeight="1">
      <c r="A13" s="8" t="inlineStr">
        <is>
          <t>learned_hands_family</t>
        </is>
      </c>
      <c r="B13" s="9" t="inlineStr">
        <is>
          <t>Issue-spotting</t>
        </is>
      </c>
      <c r="C13" s="4" t="inlineStr">
        <is>
          <t>Classification</t>
        </is>
      </c>
      <c r="D13" s="10" t="inlineStr">
        <is>
          <t>Binary (Yes/No)</t>
        </is>
      </c>
      <c r="E13" s="18" t="inlineStr">
        <is>
          <t>Quebec</t>
        </is>
      </c>
      <c r="F13" s="9" t="inlineStr">
        <is>
          <t>Does this scenario raise a family law issue (divorce, custody, support)?</t>
        </is>
      </c>
      <c r="G13" s="9" t="inlineStr">
        <is>
          <t>Mon ex-conjoint veut déménager à Vancouver avec nos deux enfants sans mon consentement. Est-ce un problème légal? (Oui/Non)</t>
        </is>
      </c>
      <c r="H13" s="9" t="n">
        <v>212</v>
      </c>
      <c r="I13" s="12" t="inlineStr">
        <is>
          <t>to adapt</t>
        </is>
      </c>
      <c r="J13" s="9" t="inlineStr">
        <is>
          <t>Binary Yes/No format</t>
        </is>
      </c>
      <c r="K13" s="9" t="inlineStr">
        <is>
          <t>Reddit US posts → scénarios droit de la famille QC (CCQ, LRQ c C-25)</t>
        </is>
      </c>
      <c r="L13" s="9" t="inlineStr">
        <is>
          <t>Ex: scénarios garde, pension alimentaire, divorce, autorité parentale</t>
        </is>
      </c>
      <c r="M13" s="9" t="inlineStr">
        <is>
          <t>Analyse des risques</t>
        </is>
      </c>
    </row>
    <row r="14" ht="60" customHeight="1">
      <c r="A14" s="2" t="inlineStr">
        <is>
          <t>learned_hands_employment</t>
        </is>
      </c>
      <c r="B14" s="3" t="inlineStr">
        <is>
          <t>Issue-spotting</t>
        </is>
      </c>
      <c r="C14" s="4" t="inlineStr">
        <is>
          <t>Classification</t>
        </is>
      </c>
      <c r="D14" s="10" t="inlineStr">
        <is>
          <t>Binary (Yes/No)</t>
        </is>
      </c>
      <c r="E14" s="11" t="inlineStr">
        <is>
          <t>Both</t>
        </is>
      </c>
      <c r="F14" s="3" t="inlineStr">
        <is>
          <t>Does this scenario raise an employment law issue?</t>
        </is>
      </c>
      <c r="G14" s="3" t="inlineStr">
        <is>
          <t>Mon employeur me demande de travailler 55 heures par semaine sans payer les heures supplémentaires. Est-ce une violation? (Oui/Non)</t>
        </is>
      </c>
      <c r="H14" s="3" t="n">
        <v>198</v>
      </c>
      <c r="I14" s="12" t="inlineStr">
        <is>
          <t>to adapt</t>
        </is>
      </c>
      <c r="J14" s="3" t="inlineStr">
        <is>
          <t>Binary Yes/No format</t>
        </is>
      </c>
      <c r="K14" s="3" t="inlineStr">
        <is>
          <t>Reddit US posts → scénarios LNT (Loi sur les normes du travail QC) + Code canadien du travail</t>
        </is>
      </c>
      <c r="L14" s="3" t="inlineStr">
        <is>
          <t>Ex: heures supplémentaires (art. 52 LNT), congédiement sans cause juste, harcèlement</t>
        </is>
      </c>
      <c r="M14" s="3" t="inlineStr">
        <is>
          <t>Analyse des risques</t>
        </is>
      </c>
    </row>
    <row r="15" ht="60" customHeight="1">
      <c r="A15" s="8" t="inlineStr">
        <is>
          <t>learned_hands_other (11 remaining tasks)</t>
        </is>
      </c>
      <c r="B15" s="9" t="inlineStr">
        <is>
          <t>Issue-spotting</t>
        </is>
      </c>
      <c r="C15" s="4" t="inlineStr">
        <is>
          <t>Classification</t>
        </is>
      </c>
      <c r="D15" s="10" t="inlineStr">
        <is>
          <t>Binary (Yes/No)</t>
        </is>
      </c>
      <c r="E15" s="11" t="inlineStr">
        <is>
          <t>Both</t>
        </is>
      </c>
      <c r="F15" s="9" t="inlineStr">
        <is>
          <t>Does this scenario raise a legal issue in domain X? (11 domains: traffic, criminal, consumer…)</t>
        </is>
      </c>
      <c r="G15" s="9" t="inlineStr">
        <is>
          <t>J'ai acheté un téléphone qui a cessé de fonctionner après 2 semaines. Le vendeur refuse de le remplacer. Ai-je un recours? (Oui/Non)</t>
        </is>
      </c>
      <c r="H15" s="9" t="n">
        <v>578</v>
      </c>
      <c r="I15" s="12" t="inlineStr">
        <is>
          <t>to adapt</t>
        </is>
      </c>
      <c r="J15" s="9" t="inlineStr">
        <is>
          <t>Binary Yes/No format per domain — all reusable</t>
        </is>
      </c>
      <c r="K15" s="9" t="inlineStr">
        <is>
          <t>Reddit US posts → scénarios québécois / canadiens par domaine</t>
        </is>
      </c>
      <c r="L15" s="9" t="inlineStr">
        <is>
          <t>Domaines prioritaires: consommation (LPC), faillite (LFI), droit pénal (CCC)</t>
        </is>
      </c>
      <c r="M15" s="9" t="inlineStr">
        <is>
          <t>Analyse des risques</t>
        </is>
      </c>
    </row>
    <row r="16" ht="60" customHeight="1">
      <c r="A16" s="2" t="inlineStr">
        <is>
          <t>corporate_lobbying</t>
        </is>
      </c>
      <c r="B16" s="3" t="inlineStr">
        <is>
          <t>Issue-spotting</t>
        </is>
      </c>
      <c r="C16" s="4" t="inlineStr">
        <is>
          <t>Classification</t>
        </is>
      </c>
      <c r="D16" s="10" t="inlineStr">
        <is>
          <t>Binary (Yes/No)</t>
        </is>
      </c>
      <c r="E16" s="11" t="inlineStr">
        <is>
          <t>Both</t>
        </is>
      </c>
      <c r="F16" s="3" t="inlineStr">
        <is>
          <t>Does this bill have direct legal implications for this company?</t>
        </is>
      </c>
      <c r="G16" s="3" t="inlineStr">
        <is>
          <t>Entreprise: société de marketing numérique collectant des données personnelles au Québec. Projet de loi: Loi 25 modernisant la protection des renseignements personnels. — Implications légales directes? (Oui/Non)</t>
        </is>
      </c>
      <c r="H16" s="3" t="n">
        <v>500</v>
      </c>
      <c r="I16" s="12" t="inlineStr">
        <is>
          <t>to adapt</t>
        </is>
      </c>
      <c r="J16" s="3" t="inlineStr">
        <is>
          <t>Yes/No format; identifying legal exposure from legislation is universal</t>
        </is>
      </c>
      <c r="K16" s="3" t="inlineStr">
        <is>
          <t>US federal bills → projets de loi québécois et fédéraux canadiens</t>
        </is>
      </c>
      <c r="L16" s="3" t="inlineStr">
        <is>
          <t>Ex: Loi 25, projets de loi fédéraux en droit du travail, fiscalité, environnement</t>
        </is>
      </c>
      <c r="M16" s="3" t="inlineStr">
        <is>
          <t>Analyse des risques / Comparaison contrats</t>
        </is>
      </c>
    </row>
    <row r="17" ht="60" customHeight="1">
      <c r="A17" s="8" t="inlineStr">
        <is>
          <t>rule_qa</t>
        </is>
      </c>
      <c r="B17" s="9" t="inlineStr">
        <is>
          <t>Rule-recall</t>
        </is>
      </c>
      <c r="C17" s="16" t="inlineStr">
        <is>
          <t>Open generation</t>
        </is>
      </c>
      <c r="D17" s="17" t="inlineStr">
        <is>
          <t>Free text</t>
        </is>
      </c>
      <c r="E17" s="11" t="inlineStr">
        <is>
          <t>Both</t>
        </is>
      </c>
      <c r="F17" s="9" t="inlineStr">
        <is>
          <t>State the legal rule / list the elements / identify where this rule is codified</t>
        </is>
      </c>
      <c r="G17" s="9" t="inlineStr">
        <is>
          <t>Quels sont les 3 critères cumulatifs de la faute civile selon l'art. 1457 CCQ? (faute, préjudice, lien de causalité)</t>
        </is>
      </c>
      <c r="H17" s="9" t="n">
        <v>50</v>
      </c>
      <c r="I17" s="12" t="inlineStr">
        <is>
          <t>to adapt</t>
        </is>
      </c>
      <c r="J17" s="9" t="inlineStr">
        <is>
          <t>Open-generation format; factual rule recall is a universal skill</t>
        </is>
      </c>
      <c r="K17" s="9" t="inlineStr">
        <is>
          <t>US federal rules → CCQ, Charte québécoise, C.p.c., Loi sur la faillite</t>
        </is>
      </c>
      <c r="L17" s="9" t="inlineStr">
        <is>
          <t>Ex: éléments de l'offre valide (art. 1388 CCQ), vices cachés (art. 1726 CCQ)</t>
        </is>
      </c>
      <c r="M17" s="9" t="inlineStr">
        <is>
          <t>Raisonnement juridique / Rédaction</t>
        </is>
      </c>
    </row>
    <row r="18" ht="60" customHeight="1">
      <c r="A18" s="2" t="inlineStr">
        <is>
          <t>citation_prediction_classification</t>
        </is>
      </c>
      <c r="B18" s="3" t="inlineStr">
        <is>
          <t>Rule-recall</t>
        </is>
      </c>
      <c r="C18" s="4" t="inlineStr">
        <is>
          <t>Classification</t>
        </is>
      </c>
      <c r="D18" s="10" t="inlineStr">
        <is>
          <t>Binary (Yes/No)</t>
        </is>
      </c>
      <c r="E18" s="11" t="inlineStr">
        <is>
          <t>Both</t>
        </is>
      </c>
      <c r="F18" s="3" t="inlineStr">
        <is>
          <t>Is this the correct citation for the given legal quote?</t>
        </is>
      </c>
      <c r="G18" s="3" t="inlineStr">
        <is>
          <t>La citation 'Doré c Barreau du Québec, 2011 CSC 12' est-elle correcte pour cet arrêt? (Oui/Non — la bonne est 2012 CSC 12)</t>
        </is>
      </c>
      <c r="H18" s="3" t="n">
        <v>110</v>
      </c>
      <c r="I18" s="12" t="inlineStr">
        <is>
          <t>to adapt</t>
        </is>
      </c>
      <c r="J18" s="3" t="inlineStr">
        <is>
          <t>Binary verification format; citation checking is a universal skill</t>
        </is>
      </c>
      <c r="K18" s="3" t="inlineStr">
        <is>
          <t>Bluebook US citations → format McGill 10e éd. (standard CA)</t>
        </is>
      </c>
      <c r="L18" s="3" t="inlineStr">
        <is>
          <t>Ex: citations d'arrêts CSC, CA-QC, Cour fédérale selon McGill Guide</t>
        </is>
      </c>
      <c r="M18" s="3" t="inlineStr">
        <is>
          <t>Raisonnement juridique</t>
        </is>
      </c>
    </row>
    <row r="19" ht="60" customHeight="1">
      <c r="A19" s="8" t="inlineStr">
        <is>
          <t>citation_prediction_open</t>
        </is>
      </c>
      <c r="B19" s="9" t="inlineStr">
        <is>
          <t>Rule-recall</t>
        </is>
      </c>
      <c r="C19" s="16" t="inlineStr">
        <is>
          <t>Open generation</t>
        </is>
      </c>
      <c r="D19" s="17" t="inlineStr">
        <is>
          <t>Free text</t>
        </is>
      </c>
      <c r="E19" s="11" t="inlineStr">
        <is>
          <t>Both</t>
        </is>
      </c>
      <c r="F19" s="9" t="inlineStr">
        <is>
          <t>Generate the correct citation for this legal quote</t>
        </is>
      </c>
      <c r="G19" s="9" t="inlineStr">
        <is>
          <t>Donnez la citation McGill correcte pour: Banque de Montréal c Bail Ltée, Cour suprême du Canada, 1992, volume 2, p. 554 du Recueil des arrêts de la Cour suprême.</t>
        </is>
      </c>
      <c r="H19" s="9" t="n">
        <v>55</v>
      </c>
      <c r="I19" s="12" t="inlineStr">
        <is>
          <t>to adapt</t>
        </is>
      </c>
      <c r="J19" s="9" t="inlineStr">
        <is>
          <t>Open generation format; citation production is a universal skill</t>
        </is>
      </c>
      <c r="K19" s="9" t="inlineStr">
        <is>
          <t>Bluebook US → McGill 10e éd. (CSC, CA-QC, Cour fédérale)</t>
        </is>
      </c>
      <c r="L19" s="9" t="inlineStr">
        <is>
          <t>Ex: arrêts CSC, décisions CA-QC, décisions Cour fédérale</t>
        </is>
      </c>
      <c r="M19" s="9" t="inlineStr">
        <is>
          <t>Raisonnement juridique</t>
        </is>
      </c>
    </row>
    <row r="20" ht="60" customHeight="1">
      <c r="A20" s="2" t="inlineStr">
        <is>
          <t>international_citizenship_questions</t>
        </is>
      </c>
      <c r="B20" s="3" t="inlineStr">
        <is>
          <t>Rule-recall</t>
        </is>
      </c>
      <c r="C20" s="4" t="inlineStr">
        <is>
          <t>Classification</t>
        </is>
      </c>
      <c r="D20" s="10" t="inlineStr">
        <is>
          <t>Binary (Yes/No)</t>
        </is>
      </c>
      <c r="E20" s="6" t="inlineStr">
        <is>
          <t>Federal CA</t>
        </is>
      </c>
      <c r="F20" s="3" t="inlineStr">
        <is>
          <t>Yes/No questions on Canadian citizenship and immigration rules</t>
        </is>
      </c>
      <c r="G20" s="3" t="inlineStr">
        <is>
          <t>Un enfant né à l'extérieur du Canada dont l'un des parents est citoyen canadien acquiert-il automatiquement la citoyenneté canadienne? (Oui/Non)</t>
        </is>
      </c>
      <c r="H20" s="3" t="n">
        <v>260</v>
      </c>
      <c r="I20" s="12" t="inlineStr">
        <is>
          <t>to adapt</t>
        </is>
      </c>
      <c r="J20" s="3" t="inlineStr">
        <is>
          <t>Yes/No factual recall format</t>
        </is>
      </c>
      <c r="K20" s="3" t="inlineStr">
        <is>
          <t>50-country citizenship dataset → Loi sur la citoyenneté canadienne + LIPR uniquement</t>
        </is>
      </c>
      <c r="L20" s="3" t="inlineStr">
        <is>
          <t>Ex: questions sur acquisition, perte, double citoyenneté (CA fédéral)</t>
        </is>
      </c>
      <c r="M20" s="3" t="inlineStr">
        <is>
          <t>Analyse des risques</t>
        </is>
      </c>
    </row>
    <row r="21" ht="60" customHeight="1">
      <c r="A21" s="8" t="inlineStr">
        <is>
          <t>nys_judicial_ethics</t>
        </is>
      </c>
      <c r="B21" s="9" t="inlineStr">
        <is>
          <t>Rule-recall</t>
        </is>
      </c>
      <c r="C21" s="4" t="inlineStr">
        <is>
          <t>Classification</t>
        </is>
      </c>
      <c r="D21" s="10" t="inlineStr">
        <is>
          <t>Binary (Yes/No)</t>
        </is>
      </c>
      <c r="E21" s="14" t="inlineStr">
        <is>
          <t>N/A</t>
        </is>
      </c>
      <c r="F21" s="9" t="inlineStr">
        <is>
          <t>Yes/No on New York State judicial ethics rules</t>
        </is>
      </c>
      <c r="G21" s="9" t="inlineStr">
        <is>
          <t>—</t>
        </is>
      </c>
      <c r="H21" s="9" t="n">
        <v>100</v>
      </c>
      <c r="I21" s="15" t="inlineStr">
        <is>
          <t>to reject</t>
        </is>
      </c>
      <c r="J21" s="9" t="inlineStr">
        <is>
          <t>—</t>
        </is>
      </c>
      <c r="K21" s="9" t="inlineStr">
        <is>
          <t>NY State ethics rules — entirely US-specific</t>
        </is>
      </c>
      <c r="L21" s="9" t="inlineStr">
        <is>
          <t>New task to create: canadian_judicial_ethics (Code de déontologie TR/2002-76)</t>
        </is>
      </c>
      <c r="M21" s="9" t="inlineStr">
        <is>
          <t>N/A</t>
        </is>
      </c>
    </row>
    <row r="22" ht="60" customHeight="1">
      <c r="A22" s="2" t="inlineStr">
        <is>
          <t>hearsay</t>
        </is>
      </c>
      <c r="B22" s="3" t="inlineStr">
        <is>
          <t>Rule-application</t>
        </is>
      </c>
      <c r="C22" s="19" t="inlineStr">
        <is>
          <t>Classification + generation</t>
        </is>
      </c>
      <c r="D22" s="10" t="inlineStr">
        <is>
          <t>Binary (Yes/No)</t>
        </is>
      </c>
      <c r="E22" s="11" t="inlineStr">
        <is>
          <t>Both</t>
        </is>
      </c>
      <c r="F22" s="3" t="inlineStr">
        <is>
          <t>Is this evidence hearsay under Canadian evidence law? Explain your reasoning.</t>
        </is>
      </c>
      <c r="G22" s="3" t="inlineStr">
        <is>
          <t>La voisine témoigne que la vendeuse lui a dit qu'il n'y avait aucun dommage structurel. Cette déclaration est-elle du ouï-dire pour prouver l'absence de dommage? (Oui/Non + explication)</t>
        </is>
      </c>
      <c r="H22" s="3" t="n">
        <v>96</v>
      </c>
      <c r="I22" s="12" t="inlineStr">
        <is>
          <t>to adapt</t>
        </is>
      </c>
      <c r="J22" s="3" t="inlineStr">
        <is>
          <t>Yes/No + explanation format; ouï-dire rule exists in CA evidence law</t>
        </is>
      </c>
      <c r="K22" s="3" t="inlineStr">
        <is>
          <t>FRE 801 (US) → art. 2843-2845 CCQ + Loi sur la preuve au Canada</t>
        </is>
      </c>
      <c r="L22" s="3" t="inlineStr">
        <is>
          <t>Ex: scénarios de preuve tirés de litiges civils québécois</t>
        </is>
      </c>
      <c r="M22" s="3" t="inlineStr">
        <is>
          <t>Raisonnement juridique / Analyse des risques</t>
        </is>
      </c>
    </row>
    <row r="23" ht="60" customHeight="1">
      <c r="A23" s="8" t="inlineStr">
        <is>
          <t>abercrombie</t>
        </is>
      </c>
      <c r="B23" s="9" t="inlineStr">
        <is>
          <t>Rule-application</t>
        </is>
      </c>
      <c r="C23" s="4" t="inlineStr">
        <is>
          <t>Classification</t>
        </is>
      </c>
      <c r="D23" s="20" t="inlineStr">
        <is>
          <t>5 classes</t>
        </is>
      </c>
      <c r="E23" s="6" t="inlineStr">
        <is>
          <t>Federal CA</t>
        </is>
      </c>
      <c r="F23" s="9" t="inlineStr">
        <is>
          <t>Classify this trademark's distinctiveness under the Canadian Trademarks Act</t>
        </is>
      </c>
      <c r="G23" s="9" t="inlineStr">
        <is>
          <t>La marque 'ÉRABLE' est déposée pour commercialiser du sirop d'érable. Quelle catégorie Abercrombie s'applique? (générique / descriptif / suggestif / arbitraire / fantaisiste)</t>
        </is>
      </c>
      <c r="H23" s="9" t="n">
        <v>100</v>
      </c>
      <c r="I23" s="12" t="inlineStr">
        <is>
          <t>to adapt</t>
        </is>
      </c>
      <c r="J23" s="9" t="inlineStr">
        <is>
          <t>5-class format; Abercrombie categories are identical in Canadian Trademarks Act</t>
        </is>
      </c>
      <c r="K23" s="9" t="inlineStr">
        <is>
          <t>Invented US examples → marques canadiennes réelles ou fictives (fr/en)</t>
        </is>
      </c>
      <c r="L23" s="9" t="inlineStr">
        <is>
          <t>Ex: 'RAPIDO' pour un service de livraison → suggestif</t>
        </is>
      </c>
      <c r="M23" s="9" t="inlineStr">
        <is>
          <t>Analyse des risques</t>
        </is>
      </c>
    </row>
    <row r="24" ht="60" customHeight="1">
      <c r="A24" s="2" t="inlineStr">
        <is>
          <t>diversity_1 to diversity_6 (6 tasks)</t>
        </is>
      </c>
      <c r="B24" s="3" t="inlineStr">
        <is>
          <t>Rule-application / Conclusion</t>
        </is>
      </c>
      <c r="C24" s="19" t="inlineStr">
        <is>
          <t>Classification + generation</t>
        </is>
      </c>
      <c r="D24" s="10" t="inlineStr">
        <is>
          <t>Binary (Yes/No)</t>
        </is>
      </c>
      <c r="E24" s="14" t="inlineStr">
        <is>
          <t>N/A</t>
        </is>
      </c>
      <c r="F24" s="3" t="inlineStr">
        <is>
          <t>Apply the US federal diversity jurisdiction test to a multi-party scenario</t>
        </is>
      </c>
      <c r="G24" s="3" t="inlineStr">
        <is>
          <t>—</t>
        </is>
      </c>
      <c r="H24" s="3" t="n">
        <v>600</v>
      </c>
      <c r="I24" s="15" t="inlineStr">
        <is>
          <t>to reject</t>
        </is>
      </c>
      <c r="J24" s="3" t="inlineStr">
        <is>
          <t>—</t>
        </is>
      </c>
      <c r="K24" s="3" t="inlineStr">
        <is>
          <t>28 USC §1332 diversity jurisdiction — US federal courts only</t>
        </is>
      </c>
      <c r="L24" s="3" t="inlineStr">
        <is>
          <t>New task to create: competence_territoriale_ccq (art. 3148 CCQ)</t>
        </is>
      </c>
      <c r="M24" s="3" t="inlineStr">
        <is>
          <t>N/A</t>
        </is>
      </c>
    </row>
    <row r="25" ht="60" customHeight="1">
      <c r="A25" s="8" t="inlineStr">
        <is>
          <t>personal_jurisdiction</t>
        </is>
      </c>
      <c r="B25" s="9" t="inlineStr">
        <is>
          <t>Rule-application / Conclusion</t>
        </is>
      </c>
      <c r="C25" s="19" t="inlineStr">
        <is>
          <t>Classification + generation</t>
        </is>
      </c>
      <c r="D25" s="10" t="inlineStr">
        <is>
          <t>Binary (Yes/No)</t>
        </is>
      </c>
      <c r="E25" s="18" t="inlineStr">
        <is>
          <t>Quebec</t>
        </is>
      </c>
      <c r="F25" s="9" t="inlineStr">
        <is>
          <t>Do Quebec authorities have personal jurisdiction over this defendant? Explain. (art. 3148 CCQ)</t>
        </is>
      </c>
      <c r="G25" s="9" t="inlineStr">
        <is>
          <t>David, domicilié en Floride, exploite une boutique de vélos à Montréal. Ana, résidant au Québec, le poursuit au Québec pour un produit vendu dans sa boutique. Le Québec a-t-il compétence? (Oui/Non + explication)</t>
        </is>
      </c>
      <c r="H25" s="9" t="n">
        <v>100</v>
      </c>
      <c r="I25" s="12" t="inlineStr">
        <is>
          <t>to adapt</t>
        </is>
      </c>
      <c r="J25" s="9" t="inlineStr">
        <is>
          <t>Yes/No + explanation format; compétence personnelle exists in CA private int'l law</t>
        </is>
      </c>
      <c r="K25" s="9" t="inlineStr">
        <is>
          <t>US minimum contacts doctrine → art. 3148 CCQ</t>
        </is>
      </c>
      <c r="L25" s="9" t="inlineStr">
        <is>
          <t>Ex: scénarios de compétence internationale des tribunaux québécois</t>
        </is>
      </c>
      <c r="M25" s="9" t="inlineStr">
        <is>
          <t>Raisonnement juridique</t>
        </is>
      </c>
    </row>
    <row r="26" ht="60" customHeight="1">
      <c r="A26" s="2" t="inlineStr">
        <is>
          <t>successor_liability</t>
        </is>
      </c>
      <c r="B26" s="3" t="inlineStr">
        <is>
          <t>Rule-application / Conclusion</t>
        </is>
      </c>
      <c r="C26" s="19" t="inlineStr">
        <is>
          <t>Classification + generation</t>
        </is>
      </c>
      <c r="D26" s="13" t="inlineStr">
        <is>
          <t>Multi-class</t>
        </is>
      </c>
      <c r="E26" s="11" t="inlineStr">
        <is>
          <t>Both</t>
        </is>
      </c>
      <c r="F26" s="3" t="inlineStr">
        <is>
          <t>Identify which successor liability exceptions apply in this asset acquisition scenario</t>
        </is>
      </c>
      <c r="G26" s="3" t="inlineStr">
        <is>
          <t>CompA achète tous les actifs de CompB incluant sa marque et 90% de ses employés, mais pas ses dettes. CompA hérite-t-elle du passif de CompB? (exceptions applicables + explication)</t>
        </is>
      </c>
      <c r="H26" s="3" t="n">
        <v>96</v>
      </c>
      <c r="I26" s="12" t="inlineStr">
        <is>
          <t>to adapt</t>
        </is>
      </c>
      <c r="J26" s="3" t="inlineStr">
        <is>
          <t>Exception identification format; acquisition d'entreprise exists under CCQ</t>
        </is>
      </c>
      <c r="K26" s="3" t="inlineStr">
        <is>
          <t>US asset purchase liability → art. 1767 CCQ + Loi sur les liquidations et restructurations</t>
        </is>
      </c>
      <c r="L26" s="3" t="inlineStr">
        <is>
          <t>Ex: acquisitions d'entreprises sous CCQ — continuité, fraude, obligation légale</t>
        </is>
      </c>
      <c r="M26" s="3" t="inlineStr">
        <is>
          <t>Comparaison de contrats / Analyse des risques</t>
        </is>
      </c>
    </row>
    <row r="27" ht="60" customHeight="1">
      <c r="A27" s="8" t="inlineStr">
        <is>
          <t>telemarketing_sales_rule</t>
        </is>
      </c>
      <c r="B27" s="9" t="inlineStr">
        <is>
          <t>Rule-application / Conclusion</t>
        </is>
      </c>
      <c r="C27" s="4" t="inlineStr">
        <is>
          <t>Classification</t>
        </is>
      </c>
      <c r="D27" s="10" t="inlineStr">
        <is>
          <t>Binary (Yes/No)</t>
        </is>
      </c>
      <c r="E27" s="14" t="inlineStr">
        <is>
          <t>N/A</t>
        </is>
      </c>
      <c r="F27" s="9" t="inlineStr">
        <is>
          <t>Does this telemarketing statement violate 16 CFR §310?</t>
        </is>
      </c>
      <c r="G27" s="9" t="inlineStr">
        <is>
          <t>—</t>
        </is>
      </c>
      <c r="H27" s="9" t="n">
        <v>100</v>
      </c>
      <c r="I27" s="15" t="inlineStr">
        <is>
          <t>to reject</t>
        </is>
      </c>
      <c r="J27" s="9" t="inlineStr">
        <is>
          <t>—</t>
        </is>
      </c>
      <c r="K27" s="9" t="inlineStr">
        <is>
          <t>US federal regulation — no Canadian equivalent in same form</t>
        </is>
      </c>
      <c r="L27" s="9" t="inlineStr">
        <is>
          <t>New task to create: lpc_consumer_protection_qc (LPC art. 224+)</t>
        </is>
      </c>
      <c r="M27" s="9" t="inlineStr">
        <is>
          <t>N/A</t>
        </is>
      </c>
    </row>
    <row r="28" ht="60" customHeight="1">
      <c r="A28" s="2" t="inlineStr">
        <is>
          <t>ucc_v_common_law</t>
        </is>
      </c>
      <c r="B28" s="3" t="inlineStr">
        <is>
          <t>Rule-conclusion</t>
        </is>
      </c>
      <c r="C28" s="4" t="inlineStr">
        <is>
          <t>Classification</t>
        </is>
      </c>
      <c r="D28" s="10" t="inlineStr">
        <is>
          <t>Binary (Yes/No)</t>
        </is>
      </c>
      <c r="E28" s="11" t="inlineStr">
        <is>
          <t>Both</t>
        </is>
      </c>
      <c r="F28" s="3" t="inlineStr">
        <is>
          <t>Is this contract governed by the CCQ (Quebec civil law) or common law?</t>
        </is>
      </c>
      <c r="G28" s="3" t="inlineStr">
        <is>
          <t>Alice, résidant au Québec, vend son vélo à Bob pour 50$. Ce contrat est-il régi par le CCQ ou par la common law? (CCQ — contrat de vente, art. 1708 CCQ)</t>
        </is>
      </c>
      <c r="H28" s="3" t="n">
        <v>100</v>
      </c>
      <c r="I28" s="12" t="inlineStr">
        <is>
          <t>to adapt</t>
        </is>
      </c>
      <c r="J28" s="3" t="inlineStr">
        <is>
          <t>Binary classification format; CCQ vs common law distinction is real in CA</t>
        </is>
      </c>
      <c r="K28" s="3" t="inlineStr">
        <is>
          <t>UCC/common law → CCQ (QC) vs Sale of Goods Act (common law provinces)</t>
        </is>
      </c>
      <c r="L28" s="3" t="inlineStr">
        <is>
          <t>Ex: contrats de vente, services, louage selon territoire de conclusion</t>
        </is>
      </c>
      <c r="M28" s="3" t="inlineStr">
        <is>
          <t>Comparaison de contrats / Rédaction</t>
        </is>
      </c>
    </row>
    <row r="29" ht="60" customHeight="1">
      <c r="A29" s="8" t="inlineStr">
        <is>
          <t>sara_entailment (2 tasks)</t>
        </is>
      </c>
      <c r="B29" s="9" t="inlineStr">
        <is>
          <t>Rule-conclusion</t>
        </is>
      </c>
      <c r="C29" s="4" t="inlineStr">
        <is>
          <t>Classification</t>
        </is>
      </c>
      <c r="D29" s="10" t="inlineStr">
        <is>
          <t>Binary (Yes/No)</t>
        </is>
      </c>
      <c r="E29" s="6" t="inlineStr">
        <is>
          <t>Federal CA</t>
        </is>
      </c>
      <c r="F29" s="9" t="inlineStr">
        <is>
          <t>Given this tax rule, does this taxpayer satisfy the conditions?</t>
        </is>
      </c>
      <c r="G29" s="9" t="inlineStr">
        <is>
          <t>Règle: art. 118(1) LIR — crédit pour aidant naturel si la personne soutient un proche invalide. Faits: Pierre soutient financièrement sa mère invalide vivant avec lui. Pierre a-t-il droit au crédit? (Oui/Non)</t>
        </is>
      </c>
      <c r="H29" s="9" t="n">
        <v>200</v>
      </c>
      <c r="I29" s="12" t="inlineStr">
        <is>
          <t>to adapt</t>
        </is>
      </c>
      <c r="J29" s="9" t="inlineStr">
        <is>
          <t>Rule-based entailment Yes/No format; tax reasoning is universal</t>
        </is>
      </c>
      <c r="K29" s="9" t="inlineStr">
        <is>
          <t>US IRC sections → Loi de l'impôt sur le revenu (CA) + Loi sur les impôts (QC)</t>
        </is>
      </c>
      <c r="L29" s="9" t="inlineStr">
        <is>
          <t>Ex: crédits d'impôt fédéraux et provinciaux, déductions, résidence fiscale</t>
        </is>
      </c>
      <c r="M29" s="9" t="inlineStr">
        <is>
          <t>Analyse des risques</t>
        </is>
      </c>
    </row>
    <row r="30" ht="60" customHeight="1">
      <c r="A30" s="2" t="inlineStr">
        <is>
          <t>contract_nli_* (14 tasks)</t>
        </is>
      </c>
      <c r="B30" s="3" t="inlineStr">
        <is>
          <t>Interpretation</t>
        </is>
      </c>
      <c r="C30" s="4" t="inlineStr">
        <is>
          <t>Classification</t>
        </is>
      </c>
      <c r="D30" s="5" t="inlineStr">
        <is>
          <t>3 classes</t>
        </is>
      </c>
      <c r="E30" s="11" t="inlineStr">
        <is>
          <t>Both</t>
        </is>
      </c>
      <c r="F30" s="3" t="inlineStr">
        <is>
          <t>Does the contract clause support / contradict / not address this hypothesis?</t>
        </is>
      </c>
      <c r="G30" s="3" t="inlineStr">
        <is>
          <t>Hypothèse: Le preneur peut sous-louer le logement sans permission. Clause: 'Toute sous-location est formellement interdite sans le consentement écrit préalable du bailleur.' — (Entailment / Contradiction / Neutre)</t>
        </is>
      </c>
      <c r="H30" s="3" t="n">
        <v>1800</v>
      </c>
      <c r="I30" s="12" t="inlineStr">
        <is>
          <t>to adapt</t>
        </is>
      </c>
      <c r="J30" s="3" t="inlineStr">
        <is>
          <t>NLI 3-class format — directly aligned with comparaison de contrats use case</t>
        </is>
      </c>
      <c r="K30" s="3" t="inlineStr">
        <is>
          <t>US NDA clauses → contrats québécois types (baux RLRQ c C-19, contrats de service CCQ)</t>
        </is>
      </c>
      <c r="L30" s="3" t="inlineStr">
        <is>
          <t>Ex: clauses de bail résidentiel, contrats d'emploi, contrats de service</t>
        </is>
      </c>
      <c r="M30" s="3" t="inlineStr">
        <is>
          <t>Comparaison de contrats</t>
        </is>
      </c>
    </row>
    <row r="31" ht="60" customHeight="1">
      <c r="A31" s="8" t="inlineStr">
        <is>
          <t>cuad_audit_rights</t>
        </is>
      </c>
      <c r="B31" s="9" t="inlineStr">
        <is>
          <t>Interpretation</t>
        </is>
      </c>
      <c r="C31" s="4" t="inlineStr">
        <is>
          <t>Classification</t>
        </is>
      </c>
      <c r="D31" s="10" t="inlineStr">
        <is>
          <t>Binary (Yes/No)</t>
        </is>
      </c>
      <c r="E31" s="11" t="inlineStr">
        <is>
          <t>Both</t>
        </is>
      </c>
      <c r="F31" s="9" t="inlineStr">
        <is>
          <t>Does this clause grant a right to audit the counterparty's books or premises?</t>
        </is>
      </c>
      <c r="G31" s="9" t="inlineStr">
        <is>
          <t>Clause: 'Le bailleur a le droit d'inspecter les lieux loués sur préavis écrit de 24 heures.' — Cette clause accorde-t-elle un droit d'audit ou d'accès? (Oui/Non)</t>
        </is>
      </c>
      <c r="H31" s="9" t="n">
        <v>1222</v>
      </c>
      <c r="I31" s="12" t="inlineStr">
        <is>
          <t>to adapt</t>
        </is>
      </c>
      <c r="J31" s="9" t="inlineStr">
        <is>
          <t>Binary Yes/No per clause type — highly reusable format</t>
        </is>
      </c>
      <c r="K31" s="9" t="inlineStr">
        <is>
          <t>US commercial contract clauses → contrats commerciaux québécois / canadiens</t>
        </is>
      </c>
      <c r="L31" s="9" t="inlineStr">
        <is>
          <t>Ex: clauses d'accès, inspection, audit dans baux commerciaux QC</t>
        </is>
      </c>
      <c r="M31" s="9" t="inlineStr">
        <is>
          <t>Comparaison de contrats</t>
        </is>
      </c>
    </row>
    <row r="32" ht="60" customHeight="1">
      <c r="A32" s="2" t="inlineStr">
        <is>
          <t>cuad_exclusivity</t>
        </is>
      </c>
      <c r="B32" s="3" t="inlineStr">
        <is>
          <t>Interpretation</t>
        </is>
      </c>
      <c r="C32" s="4" t="inlineStr">
        <is>
          <t>Classification</t>
        </is>
      </c>
      <c r="D32" s="10" t="inlineStr">
        <is>
          <t>Binary (Yes/No)</t>
        </is>
      </c>
      <c r="E32" s="11" t="inlineStr">
        <is>
          <t>Both</t>
        </is>
      </c>
      <c r="F32" s="3" t="inlineStr">
        <is>
          <t>Does this clause prevent a party from working with competitors?</t>
        </is>
      </c>
      <c r="G32" s="3" t="inlineStr">
        <is>
          <t>Clause: 'L'employé s'engage à ne pas travailler directement ou indirectement pour un concurrent pendant les 12 mois suivant la fin de son emploi.' — Clause de non-concurrence? (Oui/Non)</t>
        </is>
      </c>
      <c r="H32" s="3" t="n">
        <v>768</v>
      </c>
      <c r="I32" s="12" t="inlineStr">
        <is>
          <t>to adapt</t>
        </is>
      </c>
      <c r="J32" s="3" t="inlineStr">
        <is>
          <t>Binary Yes/No; non-concurrence / exclusivité exists under CCQ art. 2089</t>
        </is>
      </c>
      <c r="K32" s="3" t="inlineStr">
        <is>
          <t>US contract clauses → clauses de non-concurrence (art. 2089 CCQ) et d'exclusivité</t>
        </is>
      </c>
      <c r="L32" s="3" t="inlineStr">
        <is>
          <t>Ex: contrats d'emploi, contrats de franchise, contrats de distribution QC</t>
        </is>
      </c>
      <c r="M32" s="3" t="inlineStr">
        <is>
          <t>Comparaison de contrats / Analyse des risques</t>
        </is>
      </c>
    </row>
    <row r="33" ht="60" customHeight="1">
      <c r="A33" s="8" t="inlineStr">
        <is>
          <t>cuad_non_compete + 35 other CUAD tasks</t>
        </is>
      </c>
      <c r="B33" s="9" t="inlineStr">
        <is>
          <t>Interpretation</t>
        </is>
      </c>
      <c r="C33" s="4" t="inlineStr">
        <is>
          <t>Classification</t>
        </is>
      </c>
      <c r="D33" s="10" t="inlineStr">
        <is>
          <t>Binary (Yes/No)</t>
        </is>
      </c>
      <c r="E33" s="11" t="inlineStr">
        <is>
          <t>Both</t>
        </is>
      </c>
      <c r="F33" s="9" t="inlineStr">
        <is>
          <t>38 binary clause classification tasks — one per clause type</t>
        </is>
      </c>
      <c r="G33" s="9" t="inlineStr">
        <is>
          <t>Clause: 'Le présent contrat est régi par les lois de la province de Québec.' — Cette clause désigne-t-elle la loi applicable? (Oui/Non)</t>
        </is>
      </c>
      <c r="H33" s="9" t="n">
        <v>35000</v>
      </c>
      <c r="I33" s="12" t="inlineStr">
        <is>
          <t>to adapt</t>
        </is>
      </c>
      <c r="J33" s="9" t="inlineStr">
        <is>
          <t>Binary Yes/No per clause type — all reusable for QC contract review</t>
        </is>
      </c>
      <c r="K33" s="9" t="inlineStr">
        <is>
          <t>US CUAD clauses → baux commerciaux QC, contrats de franchise, contrats d'emploi CCQ</t>
        </is>
      </c>
      <c r="L33" s="9" t="inlineStr">
        <is>
          <t>Priority: exclusivité, non-concurrence, résiliation, indemnisation, cession IP</t>
        </is>
      </c>
      <c r="M33" s="9" t="inlineStr">
        <is>
          <t>Comparaison de contrats</t>
        </is>
      </c>
    </row>
    <row r="34" ht="60" customHeight="1">
      <c r="A34" s="2" t="inlineStr">
        <is>
          <t>contract_qa</t>
        </is>
      </c>
      <c r="B34" s="3" t="inlineStr">
        <is>
          <t>Interpretation</t>
        </is>
      </c>
      <c r="C34" s="16" t="inlineStr">
        <is>
          <t>Open generation</t>
        </is>
      </c>
      <c r="D34" s="21" t="inlineStr">
        <is>
          <t>Provision ID</t>
        </is>
      </c>
      <c r="E34" s="11" t="inlineStr">
        <is>
          <t>Both</t>
        </is>
      </c>
      <c r="F34" s="3" t="inlineStr">
        <is>
          <t>What type of contractual provision is present in this excerpt?</t>
        </is>
      </c>
      <c r="G34" s="3" t="inlineStr">
        <is>
          <t>Extrait: 'Les parties conviennent de soumettre tout différend découlant du présent contrat à la médiation avant tout recours judiciaire.' — Quel type de clause est-ce?</t>
        </is>
      </c>
      <c r="H34" s="3" t="n">
        <v>88</v>
      </c>
      <c r="I34" s="12" t="inlineStr">
        <is>
          <t>to adapt</t>
        </is>
      </c>
      <c r="J34" s="3" t="inlineStr">
        <is>
          <t>Open identification format; provision taxonomy is reusable</t>
        </is>
      </c>
      <c r="K34" s="3" t="inlineStr">
        <is>
          <t>US contract excerpts → contrats commerciaux québécois courants</t>
        </is>
      </c>
      <c r="L34" s="3" t="inlineStr">
        <is>
          <t>Ex: clause de médiation, clause pénale, clause de résiliation, clause de confidentialité</t>
        </is>
      </c>
      <c r="M34" s="3" t="inlineStr">
        <is>
          <t>Comparaison de contrats</t>
        </is>
      </c>
    </row>
    <row r="35" ht="60" customHeight="1">
      <c r="A35" s="8" t="inlineStr">
        <is>
          <t>consumer_contracts_qa</t>
        </is>
      </c>
      <c r="B35" s="9" t="inlineStr">
        <is>
          <t>Interpretation</t>
        </is>
      </c>
      <c r="C35" s="16" t="inlineStr">
        <is>
          <t>Open generation</t>
        </is>
      </c>
      <c r="D35" s="22" t="inlineStr">
        <is>
          <t>Rights/obligations QA</t>
        </is>
      </c>
      <c r="E35" s="18" t="inlineStr">
        <is>
          <t>Quebec</t>
        </is>
      </c>
      <c r="F35" s="9" t="inlineStr">
        <is>
          <t>What rights or obligations does this consumer contract clause impose on the user?</t>
        </is>
      </c>
      <c r="G35" s="9" t="inlineStr">
        <is>
          <t>Clause: 'La compagnie se réserve le droit de modifier les présentes conditions en tout temps sans préavis.' — Quels sont les droits du consommateur face à cette clause? (art. 11.2 LPC — résiliation dans 30 jours)</t>
        </is>
      </c>
      <c r="H35" s="9" t="n">
        <v>400</v>
      </c>
      <c r="I35" s="12" t="inlineStr">
        <is>
          <t>to adapt</t>
        </is>
      </c>
      <c r="J35" s="9" t="inlineStr">
        <is>
          <t>QA format on consumer contracts — very relevant under LPC (QC)</t>
        </is>
      </c>
      <c r="K35" s="9" t="inlineStr">
        <is>
          <t>US website TOS → contrats de consommation sous Loi sur la protection du consommateur QC</t>
        </is>
      </c>
      <c r="L35" s="9" t="inlineStr">
        <is>
          <t>Ex: clauses de modification unilatérale, résiliation, garantie légale (LPC QC)</t>
        </is>
      </c>
      <c r="M35" s="9" t="inlineStr">
        <is>
          <t>Comparaison de contrats / Analyse des risques</t>
        </is>
      </c>
    </row>
    <row r="36" ht="60" customHeight="1">
      <c r="A36" s="2" t="inlineStr">
        <is>
          <t>privacy_policy_entailment</t>
        </is>
      </c>
      <c r="B36" s="3" t="inlineStr">
        <is>
          <t>Interpretation</t>
        </is>
      </c>
      <c r="C36" s="4" t="inlineStr">
        <is>
          <t>Classification</t>
        </is>
      </c>
      <c r="D36" s="10" t="inlineStr">
        <is>
          <t>Binary (Yes/No)</t>
        </is>
      </c>
      <c r="E36" s="11" t="inlineStr">
        <is>
          <t>Both</t>
        </is>
      </c>
      <c r="F36" s="3" t="inlineStr">
        <is>
          <t>Does this privacy policy excerpt imply that the company performs action X?</t>
        </is>
      </c>
      <c r="G36" s="3" t="inlineStr">
        <is>
          <t>Extrait: 'Nous partageons vos renseignements personnels avec nos partenaires commerciaux à des fins publicitaires.' — Cela implique-t-il une communication à des tiers? (Oui — soumis à Loi 25 art. 17)</t>
        </is>
      </c>
      <c r="H36" s="3" t="n">
        <v>400</v>
      </c>
      <c r="I36" s="12" t="inlineStr">
        <is>
          <t>to adapt</t>
        </is>
      </c>
      <c r="J36" s="3" t="inlineStr">
        <is>
          <t>Entailment Yes/No format; Loi 25 makes this critical in QC</t>
        </is>
      </c>
      <c r="K36" s="3" t="inlineStr">
        <is>
          <t>US privacy policies → politiques de confidentialité sous Loi 25 + LPRPDE</t>
        </is>
      </c>
      <c r="L36" s="3" t="inlineStr">
        <is>
          <t>Ex: politiques d'entreprises québécoises — communication, conservation, droits d'accès</t>
        </is>
      </c>
      <c r="M36" s="3" t="inlineStr">
        <is>
          <t>Analyse des risques</t>
        </is>
      </c>
    </row>
    <row r="37" ht="60" customHeight="1">
      <c r="A37" s="8" t="inlineStr">
        <is>
          <t>privacy_policy_qa + opp115_* (9 tasks)</t>
        </is>
      </c>
      <c r="B37" s="9" t="inlineStr">
        <is>
          <t>Interpretation</t>
        </is>
      </c>
      <c r="C37" s="4" t="inlineStr">
        <is>
          <t>Classification</t>
        </is>
      </c>
      <c r="D37" s="10" t="inlineStr">
        <is>
          <t>Binary (Yes/No)</t>
        </is>
      </c>
      <c r="E37" s="11" t="inlineStr">
        <is>
          <t>Both</t>
        </is>
      </c>
      <c r="F37" s="9" t="inlineStr">
        <is>
          <t>Does this privacy clause cover topic Y / answer question Z?</t>
        </is>
      </c>
      <c r="G37" s="9" t="inlineStr">
        <is>
          <t>Cette politique de confidentialité mentionne-t-elle explicitement le droit de l'utilisateur d'accéder à ses renseignements personnels? (Oui/Non — requis par Loi 25 art. 27)</t>
        </is>
      </c>
      <c r="H37" s="9" t="n">
        <v>1300</v>
      </c>
      <c r="I37" s="12" t="inlineStr">
        <is>
          <t>to adapt</t>
        </is>
      </c>
      <c r="J37" s="9" t="inlineStr">
        <is>
          <t>QA + multi-class format; privacy law very active in QC (Loi 25, 2022)</t>
        </is>
      </c>
      <c r="K37" s="9" t="inlineStr">
        <is>
          <t>US privacy policies → politiques d'entreprises québécoises sous Loi 25</t>
        </is>
      </c>
      <c r="L37" s="9" t="inlineStr">
        <is>
          <t>Ex: droit d'accès, rectification, désindexation, portabilité (Loi 25 QC)</t>
        </is>
      </c>
      <c r="M37" s="9" t="inlineStr">
        <is>
          <t>Analyse des risques</t>
        </is>
      </c>
    </row>
    <row r="38" ht="60" customHeight="1">
      <c r="A38" s="2" t="inlineStr">
        <is>
          <t>maud_* (34 tasks)</t>
        </is>
      </c>
      <c r="B38" s="3" t="inlineStr">
        <is>
          <t>Interpretation</t>
        </is>
      </c>
      <c r="C38" s="4" t="inlineStr">
        <is>
          <t>Classification</t>
        </is>
      </c>
      <c r="D38" s="13" t="inlineStr">
        <is>
          <t>Multi-class</t>
        </is>
      </c>
      <c r="E38" s="14" t="inlineStr">
        <is>
          <t>N/A</t>
        </is>
      </c>
      <c r="F38" s="3" t="inlineStr">
        <is>
          <t>Answer multiple-choice questions on merger agreement excerpts</t>
        </is>
      </c>
      <c r="G38" s="3" t="inlineStr">
        <is>
          <t>—</t>
        </is>
      </c>
      <c r="H38" s="3" t="n">
        <v>5000</v>
      </c>
      <c r="I38" s="15" t="inlineStr">
        <is>
          <t>to reject</t>
        </is>
      </c>
      <c r="J38" s="3" t="inlineStr">
        <is>
          <t>—</t>
        </is>
      </c>
      <c r="K38" s="3" t="inlineStr">
        <is>
          <t>Delaware M&amp;A law — not applicable in QC civil law context</t>
        </is>
      </c>
      <c r="L38" s="3" t="inlineStr">
        <is>
          <t>New task to create: ccq_acquisition_entreprise (LSAQ / LCSA)</t>
        </is>
      </c>
      <c r="M38" s="3" t="inlineStr">
        <is>
          <t>N/A</t>
        </is>
      </c>
    </row>
    <row r="39" ht="60" customHeight="1">
      <c r="A39" s="8" t="inlineStr">
        <is>
          <t>jcrew_blocker</t>
        </is>
      </c>
      <c r="B39" s="9" t="inlineStr">
        <is>
          <t>Interpretation</t>
        </is>
      </c>
      <c r="C39" s="4" t="inlineStr">
        <is>
          <t>Classification</t>
        </is>
      </c>
      <c r="D39" s="10" t="inlineStr">
        <is>
          <t>Binary (Yes/No)</t>
        </is>
      </c>
      <c r="E39" s="14" t="inlineStr">
        <is>
          <t>N/A</t>
        </is>
      </c>
      <c r="F39" s="9" t="inlineStr">
        <is>
          <t>Is this loan clause a J.Crew Blocker provision?</t>
        </is>
      </c>
      <c r="G39" s="9" t="inlineStr">
        <is>
          <t>—</t>
        </is>
      </c>
      <c r="H39" s="9" t="n">
        <v>70</v>
      </c>
      <c r="I39" s="15" t="inlineStr">
        <is>
          <t>to reject</t>
        </is>
      </c>
      <c r="J39" s="9" t="inlineStr">
        <is>
          <t>—</t>
        </is>
      </c>
      <c r="K39" s="9" t="inlineStr">
        <is>
          <t>Highly specific US leveraged finance structure — no CA equivalent</t>
        </is>
      </c>
      <c r="L39" s="9" t="inlineStr">
        <is>
          <t>N/A</t>
        </is>
      </c>
      <c r="M39" s="9" t="inlineStr">
        <is>
          <t>N/A</t>
        </is>
      </c>
    </row>
    <row r="40" ht="60" customHeight="1">
      <c r="A40" s="2" t="inlineStr">
        <is>
          <t>insurance_policy_interpretation</t>
        </is>
      </c>
      <c r="B40" s="3" t="inlineStr">
        <is>
          <t>Interpretation</t>
        </is>
      </c>
      <c r="C40" s="4" t="inlineStr">
        <is>
          <t>Classification</t>
        </is>
      </c>
      <c r="D40" s="10" t="inlineStr">
        <is>
          <t>Binary (Yes/No)</t>
        </is>
      </c>
      <c r="E40" s="11" t="inlineStr">
        <is>
          <t>Both</t>
        </is>
      </c>
      <c r="F40" s="3" t="inlineStr">
        <is>
          <t>Is this insurance claim covered under the policy terms?</t>
        </is>
      </c>
      <c r="G40" s="3" t="inlineStr">
        <is>
          <t>Police: couvre les dégâts d'eau sauf les inondations. Sinistre: fuite d'une conduite d'eau intérieure. Ce sinistre est-il couvert? (Oui — fuite intérieure ≠ inondation)</t>
        </is>
      </c>
      <c r="H40" s="3" t="n">
        <v>100</v>
      </c>
      <c r="I40" s="12" t="inlineStr">
        <is>
          <t>to adapt</t>
        </is>
      </c>
      <c r="J40" s="3" t="inlineStr">
        <is>
          <t>Yes/No QA format; insurance law exists across all CA provinces</t>
        </is>
      </c>
      <c r="K40" s="3" t="inlineStr">
        <is>
          <t>US insurance clauses → polices d'assurance sous Loi sur les assurances (QC) / IDA (CA)</t>
        </is>
      </c>
      <c r="L40" s="3" t="inlineStr">
        <is>
          <t>Ex: polices habitation, responsabilité civile, assurance entreprise QC</t>
        </is>
      </c>
      <c r="M40" s="3" t="inlineStr">
        <is>
          <t>Analyse des risques / Comparaison de contrats</t>
        </is>
      </c>
    </row>
    <row r="41" ht="60" customHeight="1">
      <c r="A41" s="8" t="inlineStr">
        <is>
          <t>supply_chain_* (10 tasks)</t>
        </is>
      </c>
      <c r="B41" s="9" t="inlineStr">
        <is>
          <t>Interpretation</t>
        </is>
      </c>
      <c r="C41" s="4" t="inlineStr">
        <is>
          <t>Classification</t>
        </is>
      </c>
      <c r="D41" s="10" t="inlineStr">
        <is>
          <t>Binary (Yes/No)</t>
        </is>
      </c>
      <c r="E41" s="6" t="inlineStr">
        <is>
          <t>Federal CA</t>
        </is>
      </c>
      <c r="F41" s="9" t="inlineStr">
        <is>
          <t>Does this supply chain disclosure discuss topic X (audits, forced labour, training…)?</t>
        </is>
      </c>
      <c r="G41" s="9" t="inlineStr">
        <is>
          <t>Divulgation: 'Nous effectuons des vérifications annuelles de nos fournisseurs de niveau 1 pour détecter le travail forcé.' — Cette divulgation mentionne-t-elle des audits de fournisseurs? (Oui — Loi sur la lutte contre le travail forcé, CA 2023)</t>
        </is>
      </c>
      <c r="H41" s="9" t="n">
        <v>1000</v>
      </c>
      <c r="I41" s="12" t="inlineStr">
        <is>
          <t>to adapt</t>
        </is>
      </c>
      <c r="J41" s="9" t="inlineStr">
        <is>
          <t>Multi-binary format per topic; mandatory in CA since 2023</t>
        </is>
      </c>
      <c r="K41" s="9" t="inlineStr">
        <is>
          <t>US California Supply Chain Act → Loi sur la lutte contre le travail forcé (CA, 2023)</t>
        </is>
      </c>
      <c r="L41" s="9" t="inlineStr">
        <is>
          <t>Ex: divulgations annuelles d'entreprises canadiennes sous la loi fédérale 2023</t>
        </is>
      </c>
      <c r="M41" s="9" t="inlineStr">
        <is>
          <t>Analyse des risques</t>
        </is>
      </c>
    </row>
    <row r="42" ht="60" customHeight="1">
      <c r="A42" s="2" t="inlineStr">
        <is>
          <t>unfair_tos</t>
        </is>
      </c>
      <c r="B42" s="3" t="inlineStr">
        <is>
          <t>Interpretation</t>
        </is>
      </c>
      <c r="C42" s="4" t="inlineStr">
        <is>
          <t>Classification</t>
        </is>
      </c>
      <c r="D42" s="13" t="inlineStr">
        <is>
          <t>Multi-class</t>
        </is>
      </c>
      <c r="E42" s="18" t="inlineStr">
        <is>
          <t>Quebec</t>
        </is>
      </c>
      <c r="F42" s="3" t="inlineStr">
        <is>
          <t>Classify this terms-of-service clause into an unfairness category</t>
        </is>
      </c>
      <c r="G42" s="3" t="inlineStr">
        <is>
          <t>Clause: 'La compagnie peut modifier unilatéralement le prix du service sans préavis.' — Catégorie: clause abusive (art. 8 LPC QC — déséquilibre significatif au détriment du consommateur)</t>
        </is>
      </c>
      <c r="H42" s="3" t="n">
        <v>120</v>
      </c>
      <c r="I42" s="12" t="inlineStr">
        <is>
          <t>to adapt</t>
        </is>
      </c>
      <c r="J42" s="3" t="inlineStr">
        <is>
          <t>Multi-class unfairness format; clause abusive detection under LPC art. 8-8.1</t>
        </is>
      </c>
      <c r="K42" s="3" t="inlineStr">
        <is>
          <t>EU/US unfair terms datasets → clauses abusives sous LPC QC</t>
        </is>
      </c>
      <c r="L42" s="3" t="inlineStr">
        <is>
          <t>Ex: clauses de modification unilatérale, limitation de responsabilité, arbitrage forcé</t>
        </is>
      </c>
      <c r="M42" s="3" t="inlineStr">
        <is>
          <t>Analyse des risques / Comparaison de contrats</t>
        </is>
      </c>
    </row>
    <row r="43" ht="60" customHeight="1">
      <c r="A43" s="8" t="inlineStr">
        <is>
          <t>ca_irac_generation</t>
        </is>
      </c>
      <c r="B43" s="9" t="inlineStr">
        <is>
          <t>Rule-application</t>
        </is>
      </c>
      <c r="C43" s="16" t="inlineStr">
        <is>
          <t>Open generation</t>
        </is>
      </c>
      <c r="D43" s="23" t="inlineStr">
        <is>
          <t>IRAC</t>
        </is>
      </c>
      <c r="E43" s="11" t="inlineStr">
        <is>
          <t>Both</t>
        </is>
      </c>
      <c r="F43" s="9" t="inlineStr">
        <is>
          <t>Generate a complete IRAC analysis from a real CanLII court decision</t>
        </is>
      </c>
      <c r="G43" s="9" t="inlineStr">
        <is>
          <t>Décision: [extrait de 2000 mots d'un arrêt CanLII]. Rédigez une analyse IRAC complète: Issue, Rule (avec article de loi cité), Application (raisonnement étape par étape), Conclusion.</t>
        </is>
      </c>
      <c r="H43" s="9" t="inlineStr">
        <is>
          <t>~60</t>
        </is>
      </c>
      <c r="I43" s="24" t="inlineStr">
        <is>
          <t>new</t>
        </is>
      </c>
      <c r="J43" s="9" t="inlineStr">
        <is>
          <t>IRAC rubric from Phase 3 (Imen) directly reusable as GPT-4o judge criteria</t>
        </is>
      </c>
      <c r="K43" s="9" t="inlineStr">
        <is>
          <t>N/A — no LegalBench equivalent</t>
        </is>
      </c>
      <c r="L43" s="9" t="inlineStr">
        <is>
          <t>60 décisions CanLII déjà utilisées en Phase 3 (QC + fédéral)</t>
        </is>
      </c>
      <c r="M43" s="9" t="inlineStr">
        <is>
          <t>Raisonnement IRAC</t>
        </is>
      </c>
    </row>
    <row r="44" ht="60" customHeight="1">
      <c r="A44" s="2" t="inlineStr">
        <is>
          <t>ca_clause_comparison</t>
        </is>
      </c>
      <c r="B44" s="3" t="inlineStr">
        <is>
          <t>Interpretation</t>
        </is>
      </c>
      <c r="C44" s="16" t="inlineStr">
        <is>
          <t>Open generation</t>
        </is>
      </c>
      <c r="D44" s="17" t="inlineStr">
        <is>
          <t>Free text</t>
        </is>
      </c>
      <c r="E44" s="11" t="inlineStr">
        <is>
          <t>Both</t>
        </is>
      </c>
      <c r="F44" s="3" t="inlineStr">
        <is>
          <t>Given two clauses on the same topic, which is more favorable for party X? Explain.</t>
        </is>
      </c>
      <c r="G44" s="3" t="inlineStr">
        <is>
          <t>Clause A: 'Le vendeur garantit le bien contre tout vice caché pendant 1 an.' Clause B: 'Le vendeur exclut toute garantie légale.' — Laquelle est plus avantageuse pour l'acheteur selon le CCQ? Expliquez.</t>
        </is>
      </c>
      <c r="H44" s="3" t="inlineStr">
        <is>
          <t>TBD</t>
        </is>
      </c>
      <c r="I44" s="24" t="inlineStr">
        <is>
          <t>new</t>
        </is>
      </c>
      <c r="J44" s="3" t="inlineStr">
        <is>
          <t>NLI format as inspiration; extends to comparative generation with CCQ analysis</t>
        </is>
      </c>
      <c r="K44" s="3" t="inlineStr">
        <is>
          <t>N/A — no LegalBench equivalent</t>
        </is>
      </c>
      <c r="L44" s="3" t="inlineStr">
        <is>
          <t>Paires de clauses tirées de contrats québécois types (bail, vente, service)</t>
        </is>
      </c>
      <c r="M44" s="3" t="inlineStr">
        <is>
          <t>Comparaison de contrats</t>
        </is>
      </c>
    </row>
    <row r="45" ht="60" customHeight="1">
      <c r="A45" s="8" t="inlineStr">
        <is>
          <t>cpc_drafting_evaluation</t>
        </is>
      </c>
      <c r="B45" s="9" t="inlineStr">
        <is>
          <t>Rule-application</t>
        </is>
      </c>
      <c r="C45" s="16" t="inlineStr">
        <is>
          <t>Open generation</t>
        </is>
      </c>
      <c r="D45" s="17" t="inlineStr">
        <is>
          <t>Free text</t>
        </is>
      </c>
      <c r="E45" s="18" t="inlineStr">
        <is>
          <t>Quebec</t>
        </is>
      </c>
      <c r="F45" s="9" t="inlineStr">
        <is>
          <t>Evaluate if this legal document respects the required form under C.p.c.</t>
        </is>
      </c>
      <c r="G45" s="9" t="inlineStr">
        <is>
          <t>Document: [mise en demeure rédigée]. Cette mise en demeure respecte-t-elle les exigences de forme des art. 110-111 C.p.c.? Identifiez les lacunes s'il y en a.</t>
        </is>
      </c>
      <c r="H45" s="9" t="inlineStr">
        <is>
          <t>TBD</t>
        </is>
      </c>
      <c r="I45" s="24" t="inlineStr">
        <is>
          <t>new</t>
        </is>
      </c>
      <c r="J45" s="9" t="inlineStr">
        <is>
          <t>Rubric-based generation eval — LLM-as-judge (GPT-4o)</t>
        </is>
      </c>
      <c r="K45" s="9" t="inlineStr">
        <is>
          <t>N/A — no LegalBench equivalent</t>
        </is>
      </c>
      <c r="L45" s="9" t="inlineStr">
        <is>
          <t>Art. 110-111 C.p.c. + modèles de mise en demeure, demande introductive d'instance</t>
        </is>
      </c>
      <c r="M45" s="9" t="inlineStr">
        <is>
          <t>Rédaction selon C.p.c.</t>
        </is>
      </c>
    </row>
    <row r="46" ht="60" customHeight="1">
      <c r="A46" s="2" t="inlineStr">
        <is>
          <t>ca_summary_precision</t>
        </is>
      </c>
      <c r="B46" s="3" t="inlineStr">
        <is>
          <t>Rhetorical</t>
        </is>
      </c>
      <c r="C46" s="16" t="inlineStr">
        <is>
          <t>Open generation</t>
        </is>
      </c>
      <c r="D46" s="25" t="inlineStr">
        <is>
          <t>Summary</t>
        </is>
      </c>
      <c r="E46" s="11" t="inlineStr">
        <is>
          <t>Both</t>
        </is>
      </c>
      <c r="F46" s="3" t="inlineStr">
        <is>
          <t>Summarize this CanLII decision in 5-7 sentences — evaluated on factual fidelity</t>
        </is>
      </c>
      <c r="G46" s="3" t="inlineStr">
        <is>
          <t>Décision: [arrêt CanLII complet]. Rédigez un résumé de 5 à 7 phrases couvrant: parties, contexte, question juridique, règle applicable, raisonnement, issue.</t>
        </is>
      </c>
      <c r="H46" s="3" t="inlineStr">
        <is>
          <t>TBD</t>
        </is>
      </c>
      <c r="I46" s="24" t="inlineStr">
        <is>
          <t>new</t>
        </is>
      </c>
      <c r="J46" s="3" t="inlineStr">
        <is>
          <t>Summary format from Phase 3 reusable; factual fidelity as evaluation metric</t>
        </is>
      </c>
      <c r="K46" s="3" t="inlineStr">
        <is>
          <t>N/A — no LegalBench equivalent</t>
        </is>
      </c>
      <c r="L46" s="3" t="inlineStr">
        <is>
          <t>Décisions CanLII QC annotées avec résumés de référence validés par juristes</t>
        </is>
      </c>
      <c r="M46" s="3" t="inlineStr">
        <is>
          <t>Résumé de décisions</t>
        </is>
      </c>
    </row>
    <row r="47" ht="60" customHeight="1">
      <c r="A47" s="8" t="inlineStr">
        <is>
          <t>ca_false_premise</t>
        </is>
      </c>
      <c r="B47" s="9" t="inlineStr">
        <is>
          <t>Rule-recall</t>
        </is>
      </c>
      <c r="C47" s="19" t="inlineStr">
        <is>
          <t>Classification + generation</t>
        </is>
      </c>
      <c r="D47" s="26" t="inlineStr">
        <is>
          <t>Refusal + explain</t>
        </is>
      </c>
      <c r="E47" s="11" t="inlineStr">
        <is>
          <t>Both</t>
        </is>
      </c>
      <c r="F47" s="9" t="inlineStr">
        <is>
          <t>This question contains a false legal premise — identify it and explain why it is wrong</t>
        </is>
      </c>
      <c r="G47" s="9" t="inlineStr">
        <is>
          <t>Question: 'Selon l'art. 1720 CCQ, la garantie légale contre les vices cachés dure 5 ans. Mon recours est-il prescrit après 4 ans?' — Identifiez la fausse prémisse. (Faux: le délai de prescription est 3 ans sous art. 2925 CCQ, pas 5 ans)</t>
        </is>
      </c>
      <c r="H47" s="9" t="inlineStr">
        <is>
          <t>TBD</t>
        </is>
      </c>
      <c r="I47" s="24" t="inlineStr">
        <is>
          <t>new</t>
        </is>
      </c>
      <c r="J47" s="9" t="inlineStr">
        <is>
          <t>Inspired by LegalBench 'False Holdings' format; critical for anti-hallucination</t>
        </is>
      </c>
      <c r="K47" s="9" t="inlineStr">
        <is>
          <t>N/A — no LegalBench equivalent</t>
        </is>
      </c>
      <c r="L47" s="9" t="inlineStr">
        <is>
          <t>Fausses prémisses sur CCQ, LPC, C.p.c., Charte québécoise</t>
        </is>
      </c>
      <c r="M47" s="9" t="inlineStr">
        <is>
          <t>Tous les use cases — sécurité du modèle</t>
        </is>
      </c>
    </row>
    <row r="48" ht="60" customHeight="1">
      <c r="A48" s="2" t="inlineStr">
        <is>
          <t>canadian_judicial_ethics</t>
        </is>
      </c>
      <c r="B48" s="3" t="inlineStr">
        <is>
          <t>Rule-recall</t>
        </is>
      </c>
      <c r="C48" s="4" t="inlineStr">
        <is>
          <t>Classification</t>
        </is>
      </c>
      <c r="D48" s="10" t="inlineStr">
        <is>
          <t>Binary (Yes/No)</t>
        </is>
      </c>
      <c r="E48" s="6" t="inlineStr">
        <is>
          <t>Federal CA</t>
        </is>
      </c>
      <c r="F48" s="3" t="inlineStr">
        <is>
          <t>Yes/No on Canadian judicial ethics rules (Code de déontologie de la magistrature)</t>
        </is>
      </c>
      <c r="G48" s="3" t="inlineStr">
        <is>
          <t>Un juge peut-il accepter une invitation à un voyage de golf offert par un cabinet d'avocats qui plaide régulièrement devant lui? (Non — Code de déontologie de la magistrature, TR/2002-76)</t>
        </is>
      </c>
      <c r="H48" s="3" t="inlineStr">
        <is>
          <t>TBD</t>
        </is>
      </c>
      <c r="I48" s="24" t="inlineStr">
        <is>
          <t>new</t>
        </is>
      </c>
      <c r="J48" s="3" t="inlineStr">
        <is>
          <t>Same format as nys_judicial_ethics — direct replacement for Canadian context</t>
        </is>
      </c>
      <c r="K48" s="3" t="inlineStr">
        <is>
          <t>N/A — replaces nys_judicial_ethics entirely</t>
        </is>
      </c>
      <c r="L48" s="3" t="inlineStr">
        <is>
          <t>Code de déontologie de la magistrature, TR/2002-76</t>
        </is>
      </c>
      <c r="M48" s="3" t="inlineStr">
        <is>
          <t>Raisonnement juridique</t>
        </is>
      </c>
    </row>
    <row r="49" ht="60" customHeight="1">
      <c r="A49" s="8" t="inlineStr">
        <is>
          <t>competence_territoriale_ccq</t>
        </is>
      </c>
      <c r="B49" s="9" t="inlineStr">
        <is>
          <t>Rule-application / Conclusion</t>
        </is>
      </c>
      <c r="C49" s="19" t="inlineStr">
        <is>
          <t>Classification + generation</t>
        </is>
      </c>
      <c r="D49" s="10" t="inlineStr">
        <is>
          <t>Binary (Yes/No)</t>
        </is>
      </c>
      <c r="E49" s="18" t="inlineStr">
        <is>
          <t>Quebec</t>
        </is>
      </c>
      <c r="F49" s="9" t="inlineStr">
        <is>
          <t>Do Quebec authorities have jurisdiction over this defendant? (art. 3148 CCQ) Explain.</t>
        </is>
      </c>
      <c r="G49" s="9" t="inlineStr">
        <is>
          <t>Marie (Québec) poursuit une entreprise ontarienne qui lui a vendu en ligne un produit défectueux livré à son domicile au Québec. Les tribunaux québécois ont-ils compétence? (Oui — art. 3148(3) CCQ: préjudice subi au QC)</t>
        </is>
      </c>
      <c r="H49" s="9" t="inlineStr">
        <is>
          <t>TBD</t>
        </is>
      </c>
      <c r="I49" s="24" t="inlineStr">
        <is>
          <t>new</t>
        </is>
      </c>
      <c r="J49" s="9" t="inlineStr">
        <is>
          <t>Inspired by diversity_jurisdiction format — adapted to QC private int'l law</t>
        </is>
      </c>
      <c r="K49" s="9" t="inlineStr">
        <is>
          <t>N/A — replaces diversity_jurisdiction tasks</t>
        </is>
      </c>
      <c r="L49" s="9" t="inlineStr">
        <is>
          <t>Art. 3148 CCQ — compétence internationale des autorités québécoises</t>
        </is>
      </c>
      <c r="M49" s="9" t="inlineStr">
        <is>
          <t>Raisonnement juridique / Analyse des risques</t>
        </is>
      </c>
    </row>
    <row r="50" ht="70" customHeight="1">
      <c r="A50" s="51" t="inlineStr">
        <is>
          <t>ca_bilingual_parity</t>
        </is>
      </c>
      <c r="B50" s="52" t="inlineStr">
        <is>
          <t>Cross-task metric</t>
        </is>
      </c>
      <c r="C50" s="53" t="inlineStr">
        <is>
          <t>Cross-task metric</t>
        </is>
      </c>
      <c r="D50" s="54" t="inlineStr">
        <is>
          <t>Parity score</t>
        </is>
      </c>
      <c r="E50" s="55" t="inlineStr">
        <is>
          <t>Both</t>
        </is>
      </c>
      <c r="F50" s="52" t="inlineStr">
        <is>
          <t>Measure if the model answers equally well in French and English — same questions posed in both languages, scores compared for parity</t>
        </is>
      </c>
      <c r="G50" s="52" t="inlineStr">
        <is>
          <t>Version FR: 'Le locataire peut-il sous-louer sans l'accord du propriétaire selon l'art. 1870 CCQ?' / Version EN: 'Can a tenant sublease without the landlord's consent under art. 1870 CCQ?' — Le modèle doit donner le même résultat dans les deux langues.</t>
        </is>
      </c>
      <c r="H50" s="52" t="inlineStr">
        <is>
          <t>TBD</t>
        </is>
      </c>
      <c r="I50" s="56" t="inlineStr">
        <is>
          <t>new</t>
        </is>
      </c>
      <c r="J50" s="52" t="inlineStr">
        <is>
          <t>Parity analysis framework — apply to any existing task by creating FR + EN versions</t>
        </is>
      </c>
      <c r="K50" s="52" t="inlineStr">
        <is>
          <t>N/A — not a standalone task, implemented at the runner level</t>
        </is>
      </c>
      <c r="L50" s="52" t="inlineStr">
        <is>
          <t>Run any existing task twice (FR + EN), compare balanced accuracy scores, flag gap &gt; 5%</t>
        </is>
      </c>
      <c r="M50" s="52" t="inlineStr">
        <is>
          <t>Tous les use cases — qualité bilingue du modèle</t>
        </is>
      </c>
    </row>
    <row r="51" ht="70" customHeight="1">
      <c r="A51" s="57" t="inlineStr">
        <is>
          <t>ca_jurisdiction_detection</t>
        </is>
      </c>
      <c r="B51" s="58" t="inlineStr">
        <is>
          <t>Rule-recall</t>
        </is>
      </c>
      <c r="C51" s="59" t="inlineStr">
        <is>
          <t>Classification</t>
        </is>
      </c>
      <c r="D51" s="60" t="inlineStr">
        <is>
          <t>Multi-class</t>
        </is>
      </c>
      <c r="E51" s="55" t="inlineStr">
        <is>
          <t>Both</t>
        </is>
      </c>
      <c r="F51" s="58" t="inlineStr">
        <is>
          <t>Detect if a legal rule described in a question belongs to Canadian/Quebec law or to a foreign jurisdiction (EU, USA, other)</t>
        </is>
      </c>
      <c r="G51" s="58" t="inlineStr">
        <is>
          <t>Description: 'Toute organisation traitant des données personnelles doit nommer un délégué à la protection des données et notifier les violations dans les 72 heures.' — Cette règle provient de: (a) Loi 25 / LPRPDE (CA) (b) RGPD (EU) (c) CCPA (USA) (d) Autre. → Réponse: RGPD (EU) — la Loi 25 n'exige pas de DPO ni le délai de 72h.</t>
        </is>
      </c>
      <c r="H51" s="58" t="inlineStr">
        <is>
          <t>TBD</t>
        </is>
      </c>
      <c r="I51" s="56" t="inlineStr">
        <is>
          <t>new</t>
        </is>
      </c>
      <c r="J51" s="58" t="inlineStr">
        <is>
          <t>Multi-class classification format — inspired by LegalBench jurisdiction-specific tasks</t>
        </is>
      </c>
      <c r="K51" s="58" t="inlineStr">
        <is>
          <t>N/A — no LegalBench equivalent</t>
        </is>
      </c>
      <c r="L51" s="58" t="inlineStr">
        <is>
          <t>Descriptions de règles tirées du RGPD (EU), CCPA (USA), Loi 25 (QC), LPRPDE (CA), PIPEDA — annotées par juridiction</t>
        </is>
      </c>
      <c r="M51" s="58" t="inlineStr">
        <is>
          <t>Analyse des risques / Raisonnement juridique</t>
        </is>
      </c>
    </row>
    <row r="52" ht="70" customHeight="1">
      <c r="A52" s="51" t="inlineStr">
        <is>
          <t>ca_outdated_law_detection</t>
        </is>
      </c>
      <c r="B52" s="52" t="inlineStr">
        <is>
          <t>Rule-recall</t>
        </is>
      </c>
      <c r="C52" s="61" t="inlineStr">
        <is>
          <t>Classification + generation</t>
        </is>
      </c>
      <c r="D52" s="62" t="inlineStr">
        <is>
          <t>Binary (Yes/No)</t>
        </is>
      </c>
      <c r="E52" s="55" t="inlineStr">
        <is>
          <t>Both</t>
        </is>
      </c>
      <c r="F52" s="52" t="inlineStr">
        <is>
          <t>Detect if a legal question references an outdated or amended law — model must flag the outdated premise and cite the current version</t>
        </is>
      </c>
      <c r="G52" s="52" t="inlineStr">
        <is>
          <t>Question: 'Selon l'art. 1056 C.c.B.-C., quels sont les délais de prescription en matière de responsabilité civile?' — Cette question est-elle basée sur une loi à jour? (Non — le Code civil du Bas-Canada a été remplacé par le CCQ en 1994; l'article pertinent est maintenant art. 2925 CCQ)</t>
        </is>
      </c>
      <c r="H52" s="52" t="inlineStr">
        <is>
          <t>TBD</t>
        </is>
      </c>
      <c r="I52" s="56" t="inlineStr">
        <is>
          <t>new</t>
        </is>
      </c>
      <c r="J52" s="52" t="inlineStr">
        <is>
          <t>Inspired by LegalBench 'Changes in Law' task format — adapted to Canadian legislative history</t>
        </is>
      </c>
      <c r="K52" s="52" t="inlineStr">
        <is>
          <t>N/A — no LegalBench equivalent</t>
        </is>
      </c>
      <c r="L52" s="52" t="inlineStr">
        <is>
          <t>Questions basées sur des lois abrogées ou modifiées: C.c.B.-C. → CCQ, anciennes versions LPC, modifications récentes LIR</t>
        </is>
      </c>
      <c r="M52" s="52" t="inlineStr">
        <is>
          <t>Tous les use cases — fiabilité temporelle du modèle</t>
        </is>
      </c>
    </row>
    <row r="53" ht="70" customHeight="1">
      <c r="A53" s="57" t="inlineStr">
        <is>
          <t>ca_actor_role_identification</t>
        </is>
      </c>
      <c r="B53" s="58" t="inlineStr">
        <is>
          <t>Rhetorical</t>
        </is>
      </c>
      <c r="C53" s="61" t="inlineStr">
        <is>
          <t>Classification + generation</t>
        </is>
      </c>
      <c r="D53" s="63" t="inlineStr">
        <is>
          <t>Extraction</t>
        </is>
      </c>
      <c r="E53" s="55" t="inlineStr">
        <is>
          <t>Both</t>
        </is>
      </c>
      <c r="F53" s="58" t="inlineStr">
        <is>
          <t>Given a court decision excerpt, correctly identify all legal actors and their roles (plaintiff, defendant, judge, expert witness, intervener, appellant, respondent)</t>
        </is>
      </c>
      <c r="G53" s="58" t="inlineStr">
        <is>
          <t>Extrait: 'La Cour d'appel accueille le pourvoi de M. Tremblay et infirme le jugement de première instance rendu en faveur de la compagnie Assurances XYZ Inc. Le juge Leblanc, dissident, aurait maintenu la décision du tribunal.' — Identifiez: appelant (Tremblay), intimée (Assurances XYZ Inc.), juge majoritaire (non nommé), juge dissident (Leblanc).</t>
        </is>
      </c>
      <c r="H53" s="58" t="inlineStr">
        <is>
          <t>TBD</t>
        </is>
      </c>
      <c r="I53" s="56" t="inlineStr">
        <is>
          <t>new</t>
        </is>
      </c>
      <c r="J53" s="58" t="inlineStr">
        <is>
          <t>Inspired by LegalBench 'legal role labeling' — adapted to Canadian court structure</t>
        </is>
      </c>
      <c r="K53" s="58" t="inlineStr">
        <is>
          <t>N/A — no LegalBench equivalent</t>
        </is>
      </c>
      <c r="L53" s="58" t="inlineStr">
        <is>
          <t>Extraits de décisions CanLII annotés avec les rôles de chaque acteur (Cour du Québec, CA-QC, CSC, Cour fédérale)</t>
        </is>
      </c>
      <c r="M53" s="58" t="inlineStr">
        <is>
          <t>Résumé de décisions / Raisonnement juridique</t>
        </is>
      </c>
    </row>
    <row r="54" ht="70" customHeight="1">
      <c r="A54" s="51" t="inlineStr">
        <is>
          <t>ca_numerical_value_extraction</t>
        </is>
      </c>
      <c r="B54" s="52" t="inlineStr">
        <is>
          <t>Rule-application</t>
        </is>
      </c>
      <c r="C54" s="61" t="inlineStr">
        <is>
          <t>Classification + generation</t>
        </is>
      </c>
      <c r="D54" s="63" t="inlineStr">
        <is>
          <t>Extraction</t>
        </is>
      </c>
      <c r="E54" s="55" t="inlineStr">
        <is>
          <t>Both</t>
        </is>
      </c>
      <c r="F54" s="52" t="inlineStr">
        <is>
          <t>Extract and correctly identify all numerical values in a legal text — dates, deadlines, amounts, years, percentages — and their legal significance</t>
        </is>
      </c>
      <c r="G54" s="52" t="inlineStr">
        <is>
          <t>Extrait: 'Le demandeur dispose de 3 ans à compter de la connaissance du préjudice pour intenter son recours (art. 2925 CCQ). L'indemnité accordée est de 15 000$ dont 5 000$ pour préjudice moral. La décision est rendue le 12 mars 2023.' — Extrayez: délai de prescription (3 ans), indemnité totale (15 000$), préjudice moral (5 000$), date du jugement (12 mars 2023).</t>
        </is>
      </c>
      <c r="H54" s="52" t="inlineStr">
        <is>
          <t>TBD</t>
        </is>
      </c>
      <c r="I54" s="56" t="inlineStr">
        <is>
          <t>new</t>
        </is>
      </c>
      <c r="J54" s="52" t="inlineStr">
        <is>
          <t>Inspired by LegalBench arithmetic error detection in rule-application — extended to full extraction</t>
        </is>
      </c>
      <c r="K54" s="52" t="inlineStr">
        <is>
          <t>N/A — no LegalBench equivalent</t>
        </is>
      </c>
      <c r="L54" s="52" t="inlineStr">
        <is>
          <t>Extraits de décisions et d'articles de loi CanLII avec valeurs numériques annotées: délais, montants, dates, pourcentages</t>
        </is>
      </c>
      <c r="M54" s="52" t="inlineStr">
        <is>
          <t>Tous les use cases — précision factuelle du modèle</t>
        </is>
      </c>
    </row>
  </sheetData>
  <autoFilter ref="A1:M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
  <sheetViews>
    <sheetView topLeftCell="A7" workbookViewId="0">
      <selection activeCell="A1" sqref="A1"/>
    </sheetView>
  </sheetViews>
  <sheetFormatPr baseColWidth="8" defaultRowHeight="14.6"/>
  <cols>
    <col width="28" customWidth="1" min="1" max="1"/>
    <col width="10" customWidth="1" min="2" max="2"/>
    <col width="55" customWidth="1" min="3" max="3"/>
  </cols>
  <sheetData>
    <row r="1">
      <c r="A1" s="1" t="inlineStr">
        <is>
          <t>State</t>
        </is>
      </c>
      <c r="B1" s="1" t="inlineStr">
        <is>
          <t>Count</t>
        </is>
      </c>
      <c r="C1" s="1" t="inlineStr">
        <is>
          <t>Description</t>
        </is>
      </c>
    </row>
    <row r="2" ht="22" customHeight="1">
      <c r="A2" s="27" t="inlineStr">
        <is>
          <t>to keep</t>
        </is>
      </c>
      <c r="B2" s="28">
        <f>COUNTIF('LexiorBench Task Tracker'!I:I,"to keep")</f>
        <v/>
      </c>
      <c r="C2" s="29" t="inlineStr">
        <is>
          <t>Use as-is — already Canadian or universal (only canada_tax_court_outcomes)</t>
        </is>
      </c>
    </row>
    <row r="3" ht="22" customHeight="1">
      <c r="A3" s="30" t="inlineStr">
        <is>
          <t>to adapt</t>
        </is>
      </c>
      <c r="B3" s="31">
        <f>COUNTIF('LexiorBench Task Tracker'!I:I,"to adapt")</f>
        <v/>
      </c>
      <c r="C3" s="29" t="inlineStr">
        <is>
          <t>Keep structure + reasoning type, replace content with CanLII / CCQ data</t>
        </is>
      </c>
    </row>
    <row r="4" ht="22" customHeight="1">
      <c r="A4" s="32" t="inlineStr">
        <is>
          <t>to reject</t>
        </is>
      </c>
      <c r="B4" s="33">
        <f>COUNTIF('LexiorBench Task Tracker'!I:I,"to reject")</f>
        <v/>
      </c>
      <c r="C4" s="29" t="inlineStr">
        <is>
          <t>US-specific law with no Canadian equivalent — drop entirely</t>
        </is>
      </c>
    </row>
    <row r="5" ht="22" customHeight="1">
      <c r="A5" s="34" t="inlineStr">
        <is>
          <t>new</t>
        </is>
      </c>
      <c r="B5" s="35">
        <f>COUNTIF('LexiorBench Task Tracker'!I:I,"new")</f>
        <v/>
      </c>
      <c r="C5" s="29" t="inlineStr">
        <is>
          <t>Build from scratch — covers generation tasks not in LegalBench</t>
        </is>
      </c>
    </row>
    <row r="7">
      <c r="A7" s="36" t="inlineStr">
        <is>
          <t>ANSWER TYPE</t>
        </is>
      </c>
    </row>
    <row r="8">
      <c r="A8" s="37" t="inlineStr">
        <is>
          <t>Classification</t>
        </is>
      </c>
      <c r="C8" s="38" t="inlineStr">
        <is>
          <t>Model picks a label. Scored automatically with balanced accuracy.</t>
        </is>
      </c>
    </row>
    <row r="9">
      <c r="A9" s="39" t="inlineStr">
        <is>
          <t>Open generation</t>
        </is>
      </c>
      <c r="C9" s="38" t="inlineStr">
        <is>
          <t>Model produces free text. Requires LLM-as-judge (GPT-4o) to score.</t>
        </is>
      </c>
    </row>
    <row r="10" ht="23.15" customHeight="1">
      <c r="A10" s="40" t="inlineStr">
        <is>
          <t>Classification + generation</t>
        </is>
      </c>
      <c r="C10" s="38" t="inlineStr">
        <is>
          <t>Model picks a label AND must explain. Scored on both dimensions.</t>
        </is>
      </c>
    </row>
    <row r="12">
      <c r="A12" s="36" t="inlineStr">
        <is>
          <t>ANSWER DETAIL</t>
        </is>
      </c>
    </row>
    <row r="13">
      <c r="A13" s="41" t="inlineStr">
        <is>
          <t>Binary (Yes/No)</t>
        </is>
      </c>
      <c r="C13" s="38" t="inlineStr">
        <is>
          <t>Two possible labels — Yes or No. Simplest scoring.</t>
        </is>
      </c>
    </row>
    <row r="14">
      <c r="A14" s="42" t="inlineStr">
        <is>
          <t>3 classes</t>
        </is>
      </c>
      <c r="C14" s="38" t="inlineStr">
        <is>
          <t>Three labels, e.g. allowed/dismissed/other or entail/contradict/neutral.</t>
        </is>
      </c>
    </row>
    <row r="15">
      <c r="A15" s="43" t="inlineStr">
        <is>
          <t>5 classes</t>
        </is>
      </c>
      <c r="C15" s="38" t="inlineStr">
        <is>
          <t>Five labels, e.g. Abercrombie trademark categories.</t>
        </is>
      </c>
    </row>
    <row r="16">
      <c r="A16" s="44" t="inlineStr">
        <is>
          <t>Multi-class</t>
        </is>
      </c>
      <c r="C16" s="38" t="inlineStr">
        <is>
          <t>4+ labels, e.g. IRAC function (facts/rule/application/conclusion).</t>
        </is>
      </c>
    </row>
    <row r="17">
      <c r="A17" s="39" t="inlineStr">
        <is>
          <t>Free text</t>
        </is>
      </c>
      <c r="C17" s="38" t="inlineStr">
        <is>
          <t>Open-ended text output — no fixed label set.</t>
        </is>
      </c>
    </row>
    <row r="18">
      <c r="A18" s="40" t="inlineStr">
        <is>
          <t>IRAC</t>
        </is>
      </c>
      <c r="C18" s="38" t="inlineStr">
        <is>
          <t>Structured generation: Issue, Rule, Application, Conclusion.</t>
        </is>
      </c>
    </row>
    <row r="19">
      <c r="A19" s="45" t="inlineStr">
        <is>
          <t>Summary</t>
        </is>
      </c>
      <c r="C19" s="38" t="inlineStr">
        <is>
          <t>5-7 sentence decision summary evaluated on factual fidelity.</t>
        </is>
      </c>
    </row>
    <row r="20">
      <c r="A20" s="46" t="inlineStr">
        <is>
          <t>Refusal + explain</t>
        </is>
      </c>
      <c r="C20" s="38" t="inlineStr">
        <is>
          <t>Model must detect false premise and explain why it is wrong.</t>
        </is>
      </c>
    </row>
    <row r="21">
      <c r="A21" s="47" t="inlineStr">
        <is>
          <t>Provision ID</t>
        </is>
      </c>
      <c r="C21" s="38" t="inlineStr">
        <is>
          <t>Model identifies the type of contractual provision in an excerpt.</t>
        </is>
      </c>
    </row>
    <row r="22">
      <c r="A22" s="48" t="inlineStr">
        <is>
          <t>Rights/obligations QA</t>
        </is>
      </c>
      <c r="C22" s="38" t="inlineStr">
        <is>
          <t>Model identifies rights or obligations imposed by a consumer clause.</t>
        </is>
      </c>
    </row>
    <row r="24">
      <c r="A24" s="36" t="inlineStr">
        <is>
          <t>TARGET JURISDICTION</t>
        </is>
      </c>
    </row>
    <row r="25" ht="23.15" customHeight="1">
      <c r="A25" s="42" t="inlineStr">
        <is>
          <t>Federal CA</t>
        </is>
      </c>
      <c r="C25" s="38" t="inlineStr">
        <is>
          <t>Federal Canadian law — applies in all provinces (LIR, LIPR, Loi sur les marques…)</t>
        </is>
      </c>
    </row>
    <row r="26">
      <c r="A26" s="43" t="inlineStr">
        <is>
          <t>Quebec</t>
        </is>
      </c>
      <c r="C26" s="38" t="inlineStr">
        <is>
          <t>Quebec law specifically — CCQ, LPC, Loi 25, C.p.c., Charte québécoise</t>
        </is>
      </c>
    </row>
    <row r="27">
      <c r="A27" s="49" t="inlineStr">
        <is>
          <t>Both</t>
        </is>
      </c>
      <c r="C27" s="38" t="inlineStr">
        <is>
          <t>Involves both federal CA law and Quebec provincial law</t>
        </is>
      </c>
    </row>
    <row r="28">
      <c r="A28" s="50" t="inlineStr">
        <is>
          <t>N/A</t>
        </is>
      </c>
      <c r="C28" s="38" t="inlineStr">
        <is>
          <t>Task to reject — US-only, no Canadian equivalent exists</t>
        </is>
      </c>
    </row>
    <row r="30">
      <c r="A30" s="64" t="inlineStr">
        <is>
          <t>NEW ENTRIES — ANSWER TYPE &amp; DETAIL</t>
        </is>
      </c>
    </row>
    <row r="31" ht="22" customHeight="1">
      <c r="A31" s="65" t="inlineStr">
        <is>
          <t>Extraction</t>
        </is>
      </c>
      <c r="B31" s="66" t="inlineStr">
        <is>
          <t>Answer detail</t>
        </is>
      </c>
      <c r="C31" s="67" t="inlineStr">
        <is>
          <t>Model extracts specific entities from text: actors, roles, numerical values, dates.</t>
        </is>
      </c>
    </row>
    <row r="32" ht="22" customHeight="1">
      <c r="A32" s="68" t="inlineStr">
        <is>
          <t>Parity score</t>
        </is>
      </c>
      <c r="B32" s="66" t="inlineStr">
        <is>
          <t>Answer detail</t>
        </is>
      </c>
      <c r="C32" s="67" t="inlineStr">
        <is>
          <t>Not a label — compares FR vs EN balanced accuracy on the same task. Implemented at runner level.</t>
        </is>
      </c>
    </row>
    <row r="33" ht="22" customHeight="1">
      <c r="A33" s="53" t="inlineStr">
        <is>
          <t>Cross-task metric</t>
        </is>
      </c>
      <c r="B33" s="66" t="inlineStr">
        <is>
          <t>Answer type</t>
        </is>
      </c>
      <c r="C33" s="67" t="inlineStr">
        <is>
          <t>Not a standalone task — a measurement applied across other tasks (e.g. bilingual parity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2026-06-17T19:46:16Z</dcterms:created>
  <dcterms:modified xmlns:dcterms="http://purl.org/dc/terms/" xmlns:xsi="http://www.w3.org/2001/XMLSchema-instance" xsi:type="dcterms:W3CDTF">2026-06-17T20:12:10Z</dcterms:modified>
  <cp:lastModifiedBy>Imen Ben Dai</cp:lastModifiedBy>
</cp:coreProperties>
</file>